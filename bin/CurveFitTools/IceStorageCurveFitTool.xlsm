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2905" codeName="{8C4F1C90-05EB-6A55-5F09-09C24B55AC0B}"/>
  <workbookPr codeName="ThisWorkbook" autoCompressPictures="0"/>
  <bookViews>
    <workbookView xWindow="0" yWindow="0" windowWidth="25600" windowHeight="16060"/>
  </bookViews>
  <sheets>
    <sheet name="INSTRUCTION" sheetId="1" r:id="rId1"/>
    <sheet name="INPUT" sheetId="2" r:id="rId2"/>
    <sheet name="OUTPUT" sheetId="3" r:id="rId3"/>
  </sheets>
  <definedNames>
    <definedName name="CurveObjName">INPUT!$B$7</definedName>
    <definedName name="CurveTimeStep">INPUT!$D$11</definedName>
    <definedName name="CurveType">INPUT!$B$4</definedName>
    <definedName name="EPCurveObjName">OUTPUT!$C$2</definedName>
    <definedName name="FreezingTemperature">INPUT!$B$11</definedName>
    <definedName name="IndVariables">INPUT!#REF!</definedName>
    <definedName name="OperationType">INPUT!$B$3</definedName>
    <definedName name="PathName">OUTPUT!$C$3</definedName>
    <definedName name="PerformanceData">INPUT!$B$13</definedName>
    <definedName name="RatedCondition">INPUT!$B$11</definedName>
    <definedName name="TankCapacity">INPUT!$C$11</definedName>
    <definedName name="UnitsType">INPUT!$B$5</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D188" i="1" l="1"/>
  <c r="C188" i="1"/>
  <c r="B188" i="1"/>
  <c r="A188" i="1"/>
  <c r="D187" i="1"/>
  <c r="C187" i="1"/>
  <c r="B184" i="1"/>
  <c r="A184" i="1"/>
  <c r="D14" i="2"/>
  <c r="C178" i="1"/>
  <c r="C177" i="1"/>
  <c r="C176" i="1"/>
  <c r="C175" i="1"/>
  <c r="C174" i="1"/>
  <c r="C173" i="1"/>
  <c r="C172" i="1"/>
  <c r="C171" i="1"/>
  <c r="C170" i="1"/>
  <c r="C169" i="1"/>
  <c r="C168" i="1"/>
  <c r="C167" i="1"/>
  <c r="C166" i="1"/>
  <c r="C165" i="1"/>
  <c r="C164" i="1"/>
  <c r="C163" i="1"/>
  <c r="C162" i="1"/>
  <c r="C161" i="1"/>
  <c r="C160" i="1"/>
  <c r="C159" i="1"/>
  <c r="C158" i="1"/>
  <c r="D157" i="1"/>
  <c r="C157" i="1"/>
  <c r="B157" i="1"/>
  <c r="A157" i="1"/>
  <c r="D156" i="1"/>
  <c r="C156" i="1"/>
  <c r="B153" i="1"/>
  <c r="A153" i="1"/>
  <c r="D13" i="2"/>
  <c r="F13" i="2"/>
  <c r="F14" i="2"/>
  <c r="E13" i="2"/>
  <c r="E14" i="2"/>
  <c r="C14" i="2"/>
  <c r="B14" i="2"/>
  <c r="C10" i="2"/>
  <c r="B10" i="2"/>
</calcChain>
</file>

<file path=xl/sharedStrings.xml><?xml version="1.0" encoding="utf-8"?>
<sst xmlns="http://schemas.openxmlformats.org/spreadsheetml/2006/main" count="191" uniqueCount="65">
  <si>
    <t xml:space="preserve">Curve Type: </t>
  </si>
  <si>
    <t xml:space="preserve">Units: </t>
  </si>
  <si>
    <t>IP</t>
  </si>
  <si>
    <t xml:space="preserve">Performance Data:  </t>
  </si>
  <si>
    <t>R Squared</t>
  </si>
  <si>
    <t>!- Coefficient1 Constant</t>
  </si>
  <si>
    <t>!- Coefficient2 x</t>
  </si>
  <si>
    <t>!- Coefficient3 x**2</t>
  </si>
  <si>
    <t>!- Minimum Value of x</t>
  </si>
  <si>
    <t>!- Maximum Value of x</t>
  </si>
  <si>
    <t>!- Minimum Curve Output</t>
  </si>
  <si>
    <t>!- Maximum Curve Output</t>
  </si>
  <si>
    <t xml:space="preserve">Curve Object Name: </t>
  </si>
  <si>
    <t>!- Name</t>
  </si>
  <si>
    <t xml:space="preserve">Output File Name: </t>
  </si>
  <si>
    <t>oF</t>
  </si>
  <si>
    <t>!- Coefficient4 y</t>
  </si>
  <si>
    <t>!- Minimum Value of y</t>
  </si>
  <si>
    <t>!- Maximum Value of y</t>
  </si>
  <si>
    <t xml:space="preserve">Output File Path: </t>
  </si>
  <si>
    <t xml:space="preserve">Charging or Discharging: </t>
  </si>
  <si>
    <t>Freezing Temperature</t>
  </si>
  <si>
    <t>Tank Capacity</t>
  </si>
  <si>
    <t>Tons</t>
  </si>
  <si>
    <t>Curve Fit Time Step</t>
  </si>
  <si>
    <t>h</t>
  </si>
  <si>
    <t>Ton-Hours</t>
  </si>
  <si>
    <t>Tank Inlet Temperature</t>
  </si>
  <si>
    <t>Tank Outlet Temperature</t>
  </si>
  <si>
    <t xml:space="preserve">Curve Fit Data:  </t>
  </si>
  <si>
    <t>GenericIceTES</t>
  </si>
  <si>
    <t>Fraction of Full Charge</t>
  </si>
  <si>
    <t>EPlusCurveObjects</t>
  </si>
  <si>
    <t>Curve:QuadraticLinear</t>
  </si>
  <si>
    <t>GenericIceTESCharging</t>
  </si>
  <si>
    <t>!- Coefficient5 y*x</t>
  </si>
  <si>
    <t>!- Coefficient6 y*x**2</t>
  </si>
  <si>
    <t>!</t>
  </si>
  <si>
    <t>! 0.9952</t>
  </si>
  <si>
    <t>! 0.9928</t>
  </si>
  <si>
    <t>GenericIceTESDischarging</t>
  </si>
  <si>
    <t>HD Name:Users:You:Desktop\</t>
  </si>
  <si>
    <t>Charging Rate</t>
  </si>
  <si>
    <t>Discharging Rate</t>
  </si>
  <si>
    <t>CubicLinear</t>
  </si>
  <si>
    <t>SAMPLE CHARGING DATA: QuadraticLinear</t>
  </si>
  <si>
    <t>SAMPLE RESULTS FOR CHARGING DATA: QuadraticLinear</t>
  </si>
  <si>
    <t>SAMPLE DISCHARGING DATA: Quadratic Linear</t>
  </si>
  <si>
    <t>SAMPLE RESULTS FOR DISCHARGING DATA: Quadratic Linear</t>
  </si>
  <si>
    <t>Prof. Strand's MacBook Pro:Users:Rick:Documents:EnergyPlus Project:Project Management:Ice Storage Models\</t>
  </si>
  <si>
    <t>Dimensionless</t>
  </si>
  <si>
    <t>!- Input Unit Type for X</t>
  </si>
  <si>
    <t xml:space="preserve">!- Input Unit Type for Y </t>
  </si>
  <si>
    <t xml:space="preserve">!- Output Unit Type </t>
  </si>
  <si>
    <t>Curve:CubicLinear</t>
  </si>
  <si>
    <t>!- Coefficient4 x**3</t>
  </si>
  <si>
    <t>!- Coefficient5 y</t>
  </si>
  <si>
    <t>!- Coefficient6 y*x</t>
  </si>
  <si>
    <t>! 0.8934</t>
  </si>
  <si>
    <t>Charging</t>
  </si>
  <si>
    <t>! 0.999</t>
  </si>
  <si>
    <t>SAMPLE RESULTS FOR DISCHARGING DATA: Cubic Linear</t>
  </si>
  <si>
    <t>SAMPLE DISCHARGING DATA: Cubic Linear</t>
  </si>
  <si>
    <t>SAMPLE CHARGING DATA: Cubic Linear</t>
  </si>
  <si>
    <t>SAMPLE RESULTS FOR CHARGING DATA: Cubic Linear</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</si>
</sst>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0"/>
    <numFmt numFmtId="165" formatCode="0.0000000000"/>
    <numFmt numFmtId="166" formatCode="0.000"/>
    <numFmt numFmtId="167" formatCode="0.0"/>
    <numFmt numFmtId="168" formatCode="0.0000000000000000"/>
  </numFmts>
  <fonts count="13" x14ac:knownFonts="1">
    <font>
      <sz val="11"/>
      <color theme="1"/>
      <name val="Calibri"/>
      <family val="2"/>
      <scheme val="minor"/>
    </font>
    <font>
      <b/>
      <sz val="11"/>
      <color theme="1"/>
      <name val="Calibri"/>
      <family val="2"/>
      <scheme val="minor"/>
    </font>
    <font>
      <b/>
      <sz val="12"/>
      <color rgb="FF0000CC"/>
      <name val="Calibri"/>
      <family val="2"/>
      <scheme val="minor"/>
    </font>
    <font>
      <sz val="11"/>
      <name val="Calibri"/>
      <family val="2"/>
      <scheme val="minor"/>
    </font>
    <font>
      <sz val="11"/>
      <color rgb="FF0000CC"/>
      <name val="Calibri"/>
      <family val="2"/>
      <scheme val="minor"/>
    </font>
    <font>
      <b/>
      <sz val="16"/>
      <color rgb="FF0000FF"/>
      <name val="Calibri"/>
      <family val="2"/>
    </font>
    <font>
      <b/>
      <sz val="14"/>
      <color rgb="FF0000FF"/>
      <name val="Calibri"/>
      <family val="2"/>
    </font>
    <font>
      <u/>
      <sz val="11"/>
      <color theme="10"/>
      <name val="Calibri"/>
      <family val="2"/>
      <scheme val="minor"/>
    </font>
    <font>
      <u/>
      <sz val="11"/>
      <color theme="11"/>
      <name val="Calibri"/>
      <family val="2"/>
      <scheme val="minor"/>
    </font>
    <font>
      <b/>
      <sz val="11"/>
      <color rgb="FF000000"/>
      <name val="Calibri"/>
      <family val="2"/>
      <scheme val="minor"/>
    </font>
    <font>
      <b/>
      <sz val="12"/>
      <color theme="1"/>
      <name val="Calibri"/>
      <family val="2"/>
      <scheme val="minor"/>
    </font>
    <font>
      <sz val="12"/>
      <color rgb="FF000000"/>
      <name val="Calibri"/>
      <family val="2"/>
      <scheme val="minor"/>
    </font>
    <font>
      <sz val="11"/>
      <color rgb="FF000000"/>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rgb="FFD9D9D9"/>
        <bgColor rgb="FF000000"/>
      </patternFill>
    </fill>
  </fills>
  <borders count="13">
    <border>
      <left/>
      <right/>
      <top/>
      <bottom/>
      <diagonal/>
    </border>
    <border>
      <left style="thin">
        <color auto="1"/>
      </left>
      <right style="thin">
        <color auto="1"/>
      </right>
      <top style="thin">
        <color auto="1"/>
      </top>
      <bottom/>
      <diagonal/>
    </border>
    <border>
      <left/>
      <right style="thin">
        <color auto="1"/>
      </right>
      <top style="thin">
        <color auto="1"/>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style="thin">
        <color auto="1"/>
      </bottom>
      <diagonal/>
    </border>
    <border>
      <left/>
      <right/>
      <top/>
      <bottom style="thin">
        <color auto="1"/>
      </bottom>
      <diagonal/>
    </border>
    <border>
      <left style="thin">
        <color auto="1"/>
      </left>
      <right/>
      <top style="thin">
        <color auto="1"/>
      </top>
      <bottom/>
      <diagonal/>
    </border>
    <border>
      <left/>
      <right/>
      <top style="thin">
        <color auto="1"/>
      </top>
      <bottom/>
      <diagonal/>
    </border>
  </borders>
  <cellStyleXfs count="81">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cellStyleXfs>
  <cellXfs count="53">
    <xf numFmtId="0" fontId="0" fillId="0" borderId="0" xfId="0"/>
    <xf numFmtId="0" fontId="1" fillId="2" borderId="1" xfId="0" applyFont="1" applyFill="1" applyBorder="1" applyAlignment="1">
      <alignment horizontal="right" vertical="center"/>
    </xf>
    <xf numFmtId="0" fontId="0" fillId="0" borderId="0" xfId="0" applyFill="1"/>
    <xf numFmtId="0" fontId="1" fillId="2" borderId="3" xfId="0" applyFont="1" applyFill="1" applyBorder="1" applyAlignment="1">
      <alignment horizontal="right" vertical="center"/>
    </xf>
    <xf numFmtId="0" fontId="2" fillId="2" borderId="4" xfId="0" applyFont="1" applyFill="1" applyBorder="1" applyAlignment="1">
      <alignment horizontal="center" vertical="center"/>
    </xf>
    <xf numFmtId="0" fontId="1" fillId="2" borderId="5" xfId="0" applyFont="1" applyFill="1" applyBorder="1" applyAlignment="1">
      <alignment horizontal="right" vertical="center"/>
    </xf>
    <xf numFmtId="0" fontId="2" fillId="2" borderId="6" xfId="0" applyFont="1" applyFill="1" applyBorder="1" applyAlignment="1">
      <alignment horizontal="center"/>
    </xf>
    <xf numFmtId="0" fontId="0" fillId="0" borderId="0" xfId="0" applyFill="1" applyAlignment="1">
      <alignment horizontal="center"/>
    </xf>
    <xf numFmtId="0" fontId="0" fillId="0" borderId="0" xfId="0" applyFill="1" applyAlignment="1">
      <alignment horizontal="right"/>
    </xf>
    <xf numFmtId="0" fontId="0" fillId="0" borderId="0" xfId="0" applyFill="1" applyAlignment="1">
      <alignment horizontal="center" vertical="center"/>
    </xf>
    <xf numFmtId="0" fontId="1" fillId="2" borderId="0" xfId="0" applyFont="1" applyFill="1" applyAlignment="1">
      <alignment horizontal="right" vertical="center"/>
    </xf>
    <xf numFmtId="0" fontId="1" fillId="2" borderId="7" xfId="0" applyFont="1" applyFill="1" applyBorder="1" applyAlignment="1">
      <alignment horizontal="center" vertical="center" wrapText="1" shrinkToFit="1"/>
    </xf>
    <xf numFmtId="0" fontId="1" fillId="2" borderId="8" xfId="0" applyFont="1" applyFill="1" applyBorder="1" applyAlignment="1">
      <alignment horizontal="center" vertical="center" wrapText="1" shrinkToFit="1"/>
    </xf>
    <xf numFmtId="0" fontId="1" fillId="2" borderId="4" xfId="0" applyFont="1" applyFill="1" applyBorder="1" applyAlignment="1">
      <alignment horizontal="center" vertical="center" wrapText="1" shrinkToFit="1"/>
    </xf>
    <xf numFmtId="0" fontId="1" fillId="2" borderId="9" xfId="0" applyFont="1" applyFill="1" applyBorder="1" applyAlignment="1">
      <alignment horizontal="center" vertical="center" wrapText="1" shrinkToFit="1"/>
    </xf>
    <xf numFmtId="0" fontId="1" fillId="2" borderId="10" xfId="0" applyFont="1" applyFill="1" applyBorder="1" applyAlignment="1">
      <alignment horizontal="center" vertical="center" wrapText="1" shrinkToFit="1"/>
    </xf>
    <xf numFmtId="0" fontId="1" fillId="2" borderId="6" xfId="0" applyFont="1" applyFill="1" applyBorder="1" applyAlignment="1">
      <alignment horizontal="center" vertical="center" wrapText="1" shrinkToFit="1"/>
    </xf>
    <xf numFmtId="2" fontId="0" fillId="0" borderId="0" xfId="0" applyNumberFormat="1" applyFill="1" applyAlignment="1">
      <alignment horizontal="center" vertical="center"/>
    </xf>
    <xf numFmtId="1" fontId="3" fillId="0" borderId="0" xfId="0" applyNumberFormat="1" applyFont="1" applyFill="1" applyAlignment="1">
      <alignment horizontal="center" vertical="center"/>
    </xf>
    <xf numFmtId="0" fontId="0" fillId="0" borderId="0" xfId="0" applyFill="1" applyAlignment="1">
      <alignment wrapText="1"/>
    </xf>
    <xf numFmtId="164" fontId="0" fillId="0" borderId="0" xfId="0" applyNumberFormat="1" applyFill="1"/>
    <xf numFmtId="0" fontId="3" fillId="0" borderId="0" xfId="0" applyFont="1" applyFill="1" applyAlignment="1">
      <alignment horizontal="center" vertical="center"/>
    </xf>
    <xf numFmtId="165" fontId="0" fillId="0" borderId="0" xfId="0" applyNumberFormat="1" applyFill="1"/>
    <xf numFmtId="0" fontId="3" fillId="0" borderId="0" xfId="0" applyFont="1" applyFill="1" applyAlignment="1">
      <alignment horizontal="right" vertical="center"/>
    </xf>
    <xf numFmtId="166" fontId="0" fillId="0" borderId="0" xfId="0" applyNumberFormat="1" applyFill="1"/>
    <xf numFmtId="2" fontId="0" fillId="0" borderId="0" xfId="0" applyNumberFormat="1" applyFill="1"/>
    <xf numFmtId="2" fontId="0" fillId="0" borderId="0" xfId="0" applyNumberFormat="1" applyFill="1" applyAlignment="1">
      <alignment horizontal="right"/>
    </xf>
    <xf numFmtId="0" fontId="0" fillId="0" borderId="0" xfId="0" applyFill="1" applyAlignment="1">
      <alignment horizontal="right" wrapText="1"/>
    </xf>
    <xf numFmtId="165" fontId="0" fillId="0" borderId="0" xfId="0" applyNumberFormat="1" applyFill="1" applyAlignment="1">
      <alignment horizontal="center"/>
    </xf>
    <xf numFmtId="167" fontId="0" fillId="0" borderId="0" xfId="0" applyNumberFormat="1" applyAlignment="1">
      <alignment horizontal="center"/>
    </xf>
    <xf numFmtId="2" fontId="4" fillId="0" borderId="0" xfId="0" applyNumberFormat="1" applyFont="1" applyAlignment="1">
      <alignment horizontal="center"/>
    </xf>
    <xf numFmtId="0" fontId="4" fillId="0" borderId="0" xfId="0" applyFont="1" applyAlignment="1">
      <alignment horizontal="center"/>
    </xf>
    <xf numFmtId="166" fontId="3" fillId="0" borderId="0" xfId="0" applyNumberFormat="1" applyFont="1" applyFill="1" applyAlignment="1">
      <alignment horizontal="right" vertical="center"/>
    </xf>
    <xf numFmtId="0" fontId="0" fillId="0" borderId="0" xfId="0" applyAlignment="1">
      <alignment horizontal="right"/>
    </xf>
    <xf numFmtId="0" fontId="0" fillId="0" borderId="0" xfId="0" applyAlignment="1">
      <alignment horizontal="left"/>
    </xf>
    <xf numFmtId="0" fontId="1" fillId="0" borderId="0" xfId="0" applyFont="1" applyFill="1" applyBorder="1" applyAlignment="1">
      <alignment horizontal="right" vertical="center"/>
    </xf>
    <xf numFmtId="0" fontId="2" fillId="0" borderId="0" xfId="0" applyFont="1" applyFill="1" applyBorder="1" applyAlignment="1">
      <alignment horizontal="center"/>
    </xf>
    <xf numFmtId="165" fontId="0" fillId="0" borderId="0" xfId="0" applyNumberFormat="1" applyAlignment="1">
      <alignment horizontal="right"/>
    </xf>
    <xf numFmtId="164" fontId="0" fillId="0" borderId="0" xfId="0" applyNumberFormat="1" applyAlignment="1">
      <alignment horizontal="right"/>
    </xf>
    <xf numFmtId="0" fontId="1" fillId="2" borderId="3" xfId="0" applyFont="1" applyFill="1" applyBorder="1" applyAlignment="1">
      <alignment horizontal="center" vertical="center"/>
    </xf>
    <xf numFmtId="2" fontId="0" fillId="0" borderId="0" xfId="0" applyNumberFormat="1" applyAlignment="1">
      <alignment horizontal="right"/>
    </xf>
    <xf numFmtId="168" fontId="0" fillId="0" borderId="0" xfId="0" applyNumberFormat="1" applyAlignment="1">
      <alignment horizontal="center"/>
    </xf>
    <xf numFmtId="0" fontId="2" fillId="2" borderId="2" xfId="0" applyFont="1" applyFill="1" applyBorder="1" applyAlignment="1" applyProtection="1">
      <alignment horizontal="center"/>
      <protection locked="0"/>
    </xf>
    <xf numFmtId="0" fontId="9" fillId="3" borderId="9" xfId="0" applyFont="1" applyFill="1" applyBorder="1" applyAlignment="1">
      <alignment horizontal="center" vertical="center" wrapText="1" shrinkToFit="1"/>
    </xf>
    <xf numFmtId="0" fontId="9" fillId="3" borderId="10" xfId="0" applyFont="1" applyFill="1" applyBorder="1" applyAlignment="1">
      <alignment horizontal="center" vertical="center" wrapText="1" shrinkToFit="1"/>
    </xf>
    <xf numFmtId="0" fontId="9" fillId="3" borderId="6" xfId="0" applyFont="1" applyFill="1" applyBorder="1" applyAlignment="1">
      <alignment horizontal="center" vertical="center" wrapText="1" shrinkToFit="1"/>
    </xf>
    <xf numFmtId="0" fontId="1" fillId="2" borderId="11" xfId="0" applyFont="1" applyFill="1" applyBorder="1" applyAlignment="1">
      <alignment horizontal="center" vertical="center" wrapText="1" shrinkToFit="1"/>
    </xf>
    <xf numFmtId="0" fontId="1" fillId="2" borderId="12" xfId="0" applyFont="1" applyFill="1" applyBorder="1" applyAlignment="1">
      <alignment horizontal="center" vertical="center" wrapText="1" shrinkToFit="1"/>
    </xf>
    <xf numFmtId="0" fontId="1" fillId="2" borderId="2" xfId="0" applyFont="1" applyFill="1" applyBorder="1" applyAlignment="1">
      <alignment horizontal="center" vertical="center" wrapText="1" shrinkToFit="1"/>
    </xf>
    <xf numFmtId="0" fontId="11" fillId="0" borderId="0" xfId="0" applyFont="1"/>
    <xf numFmtId="0" fontId="10" fillId="0" borderId="0" xfId="0" applyFont="1"/>
    <xf numFmtId="0" fontId="12" fillId="0" borderId="0" xfId="0" applyFont="1"/>
    <xf numFmtId="166" fontId="12" fillId="0" borderId="0" xfId="0" applyNumberFormat="1" applyFont="1"/>
  </cellXfs>
  <cellStyles count="81">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13</xdr:col>
      <xdr:colOff>400050</xdr:colOff>
      <xdr:row>74</xdr:row>
      <xdr:rowOff>12700</xdr:rowOff>
    </xdr:to>
    <xdr:sp macro="" textlink="">
      <xdr:nvSpPr>
        <xdr:cNvPr id="4" name="TextBox 3"/>
        <xdr:cNvSpPr txBox="1"/>
      </xdr:nvSpPr>
      <xdr:spPr>
        <a:xfrm>
          <a:off x="0" y="0"/>
          <a:ext cx="15767050" cy="13169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solidFill>
                <a:schemeClr val="dk1"/>
              </a:solidFill>
              <a:effectLst/>
              <a:latin typeface="+mn-lt"/>
              <a:ea typeface="+mn-ea"/>
              <a:cs typeface="+mn-cs"/>
            </a:rPr>
            <a:t>This auxiliary tool generates detailed ice storage performance curves in EnergyPlus curve object format.  This is required by the ThermalStorage:Ice:Detailed object in EnergyPlus for both the charging and the discharging</a:t>
          </a:r>
          <a:r>
            <a:rPr lang="en-US" sz="1100" baseline="0">
              <a:solidFill>
                <a:schemeClr val="dk1"/>
              </a:solidFill>
              <a:effectLst/>
              <a:latin typeface="+mn-lt"/>
              <a:ea typeface="+mn-ea"/>
              <a:cs typeface="+mn-cs"/>
            </a:rPr>
            <a:t> cycle.</a:t>
          </a:r>
          <a:endParaRPr lang="en-US"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For each set of performance data entered, the charging or discharging performance curves are generated, and these curves are generated as a function of</a:t>
          </a:r>
          <a:r>
            <a:rPr lang="en-US" sz="1100" baseline="0">
              <a:solidFill>
                <a:schemeClr val="dk1"/>
              </a:solidFill>
              <a:effectLst/>
              <a:latin typeface="+mn-lt"/>
              <a:ea typeface="+mn-ea"/>
              <a:cs typeface="+mn-cs"/>
            </a:rPr>
            <a:t> tank inlet and outlet temperature as well as the current fraction of full charge</a:t>
          </a:r>
          <a:r>
            <a:rPr lang="en-US" sz="1100">
              <a:solidFill>
                <a:schemeClr val="dk1"/>
              </a:solidFill>
              <a:effectLst/>
              <a:latin typeface="+mn-lt"/>
              <a:ea typeface="+mn-ea"/>
              <a:cs typeface="+mn-cs"/>
            </a:rPr>
            <a:t>.  The curve types allowed are:</a:t>
          </a:r>
        </a:p>
        <a:p>
          <a:pPr eaLnBrk="1" fontAlgn="auto" latinLnBrk="0" hangingPunct="1"/>
          <a:endParaRPr lang="en-US" sz="1100" baseline="0">
            <a:solidFill>
              <a:schemeClr val="dk1"/>
            </a:solidFill>
            <a:effectLst/>
            <a:latin typeface="+mn-lt"/>
            <a:ea typeface="+mn-ea"/>
            <a:cs typeface="+mn-cs"/>
          </a:endParaRPr>
        </a:p>
        <a:p>
          <a:pPr eaLnBrk="1" fontAlgn="auto" latinLnBrk="0" hangingPunct="1"/>
          <a:r>
            <a:rPr lang="en-US" sz="1100" baseline="0">
              <a:solidFill>
                <a:schemeClr val="dk1"/>
              </a:solidFill>
              <a:effectLst/>
              <a:latin typeface="+mn-lt"/>
              <a:ea typeface="+mn-ea"/>
              <a:cs typeface="+mn-cs"/>
            </a:rPr>
            <a:t>    QUADRATIC LINEAR FORM</a:t>
          </a:r>
          <a:endParaRPr lang="en-US">
            <a:effectLst/>
          </a:endParaRPr>
        </a:p>
        <a:p>
          <a:r>
            <a:rPr lang="en-US" sz="1100">
              <a:solidFill>
                <a:schemeClr val="dk1"/>
              </a:solidFill>
              <a:effectLst/>
              <a:latin typeface="+mn-lt"/>
              <a:ea typeface="+mn-ea"/>
              <a:cs typeface="+mn-cs"/>
            </a:rPr>
            <a:t>       Qstar = a0 + a1*X + a2*X^2 + a3*Y + a4*Y^2 + a5*X*Y</a:t>
          </a:r>
          <a:endParaRPr lang="en-US">
            <a:effectLst/>
          </a:endParaRPr>
        </a:p>
        <a:p>
          <a:r>
            <a:rPr lang="en-US" sz="1100">
              <a:solidFill>
                <a:schemeClr val="dk1"/>
              </a:solidFill>
              <a:effectLst/>
              <a:latin typeface="+mn-lt"/>
              <a:ea typeface="+mn-ea"/>
              <a:cs typeface="+mn-cs"/>
            </a:rPr>
            <a:t>	where X is the Fraction of Full Charge </a:t>
          </a:r>
          <a:r>
            <a:rPr lang="en-US" sz="1100" baseline="0">
              <a:solidFill>
                <a:schemeClr val="dk1"/>
              </a:solidFill>
              <a:effectLst/>
              <a:latin typeface="+mn-lt"/>
              <a:ea typeface="+mn-ea"/>
              <a:cs typeface="+mn-cs"/>
            </a:rPr>
            <a:t>and Y is the dimensionless Log Mean Temperature Difference across the ice tank.  Qstar is the non-dimensional load on the tank which is equal to the load on the tank times the curve time step (usually 1 hour) and divided by the tank capacity.</a:t>
          </a:r>
          <a:endParaRPr lang="en-US" sz="1100" b="0" baseline="0">
            <a:solidFill>
              <a:schemeClr val="dk1"/>
            </a:solidFill>
            <a:effectLst/>
            <a:latin typeface="+mn-lt"/>
            <a:ea typeface="+mn-ea"/>
            <a:cs typeface="+mn-cs"/>
          </a:endParaRPr>
        </a:p>
        <a:p>
          <a:r>
            <a:rPr lang="en-US" sz="1100" b="0" baseline="0">
              <a:solidFill>
                <a:schemeClr val="dk1"/>
              </a:solidFill>
              <a:effectLst/>
              <a:latin typeface="+mn-lt"/>
              <a:ea typeface="+mn-ea"/>
              <a:cs typeface="+mn-cs"/>
            </a:rPr>
            <a:t>     CUBIC LINEAR DISCHARGING FORM</a:t>
          </a:r>
        </a:p>
        <a:p>
          <a:r>
            <a:rPr lang="en-US" sz="1100" b="0"/>
            <a:t>       Qstar = a0 + a1*X + a2*X^2 + a3*X^3 + a4*Y + a5*X*Y</a:t>
          </a:r>
        </a:p>
        <a:p>
          <a:r>
            <a:rPr lang="en-US" sz="1100" b="0"/>
            <a:t>	where X is the dimensionless Log Mean Temperature Difference across the ice tank and Y is the Fraction of Full Charge .  Qstar is the non-dimensional load on the tank which is equal to the load on the tank times the curve time step (usually 1 hour) and divided by the tank capacity.</a:t>
          </a:r>
        </a:p>
        <a:p>
          <a:r>
            <a:rPr lang="en-US" sz="1100" b="0"/>
            <a:t>     CUBIC LINEAR CHARGING FORM</a:t>
          </a:r>
        </a:p>
        <a:p>
          <a:r>
            <a:rPr lang="en-US" sz="1100" b="0"/>
            <a:t>       Qstar = a0 + a1*X + a2*X^2 + a3*X^3 + a4*Y + a5*X*Y</a:t>
          </a:r>
        </a:p>
        <a:p>
          <a:r>
            <a:rPr lang="en-US" sz="1100" b="0"/>
            <a:t>	where X is the dimensionless Log Mean Temperature Difference across the ice tank and Y is the non-dimensionalized</a:t>
          </a:r>
          <a:r>
            <a:rPr lang="en-US" sz="1100" b="0" baseline="0"/>
            <a:t> flow rate through the tank (mass flow rate divided by the mass flow rate equivalent to 100 GPM)</a:t>
          </a:r>
          <a:r>
            <a:rPr lang="en-US" sz="1100" b="0"/>
            <a:t>.  Qstar is the non-dimensional load on the tank which is equal to the load on the tank times the curve time step (usually 1 hour) and divided by the tank capacity.</a:t>
          </a:r>
        </a:p>
        <a:p>
          <a:endParaRPr lang="en-US" sz="1100" b="0"/>
        </a:p>
        <a:p>
          <a:r>
            <a:rPr lang="en-US" sz="1100" b="1"/>
            <a:t> </a:t>
          </a:r>
        </a:p>
        <a:p>
          <a:r>
            <a:rPr lang="en-US" sz="1100" b="1"/>
            <a:t>INPUTS:</a:t>
          </a:r>
        </a:p>
        <a:p>
          <a:r>
            <a:rPr lang="en-US" sz="1100">
              <a:solidFill>
                <a:schemeClr val="dk1"/>
              </a:solidFill>
              <a:effectLst/>
              <a:latin typeface="+mn-lt"/>
              <a:ea typeface="+mn-ea"/>
              <a:cs typeface="+mn-cs"/>
            </a:rPr>
            <a:t>First step in curve generation is to select appropriate parameters from the dropdown menu.  These inputs define the operation mode of the tank, Curve Type, and the Units type. The choices available for each input parameters are described as follows:</a:t>
          </a:r>
        </a:p>
        <a:p>
          <a:r>
            <a:rPr lang="en-US" sz="1100"/>
            <a:t> </a:t>
          </a:r>
        </a:p>
        <a:p>
          <a:r>
            <a:rPr lang="en-US" sz="1100"/>
            <a:t>   Operation Mode of the Tank:  This is more for informational purposes as the choice here will determine</a:t>
          </a:r>
          <a:r>
            <a:rPr lang="en-US" sz="1100" baseline="0"/>
            <a:t> the name of the curve object and thus will differentiate between the two modes.</a:t>
          </a:r>
        </a:p>
        <a:p>
          <a:r>
            <a:rPr lang="en-US" sz="1100"/>
            <a:t>           (1) Charging</a:t>
          </a:r>
        </a:p>
        <a:p>
          <a:r>
            <a:rPr lang="en-US" sz="1100"/>
            <a:t>           (2) Discharging</a:t>
          </a:r>
        </a:p>
        <a:p>
          <a:pPr marL="0" marR="0" indent="0" defTabSz="914400" eaLnBrk="1" fontAlgn="auto" latinLnBrk="0" hangingPunct="1">
            <a:lnSpc>
              <a:spcPct val="100000"/>
            </a:lnSpc>
            <a:spcBef>
              <a:spcPts val="0"/>
            </a:spcBef>
            <a:spcAft>
              <a:spcPts val="0"/>
            </a:spcAft>
            <a:buClrTx/>
            <a:buSzTx/>
            <a:buFontTx/>
            <a:buNone/>
            <a:tabLst/>
            <a:defRPr/>
          </a:pPr>
          <a:r>
            <a:rPr lang="en-US" sz="1100"/>
            <a:t>   Curve Types: currently only one of curve type can be selected</a:t>
          </a:r>
        </a:p>
        <a:p>
          <a:r>
            <a:rPr lang="en-US" sz="1100"/>
            <a:t>           (1) QuadraticLinear </a:t>
          </a:r>
        </a:p>
        <a:p>
          <a:r>
            <a:rPr lang="en-US" sz="1100"/>
            <a:t>           (2) CubicLinear</a:t>
          </a:r>
        </a:p>
        <a:p>
          <a:r>
            <a:rPr lang="en-US" sz="1100"/>
            <a:t>   Units: the input data can be either IP or SI</a:t>
          </a:r>
          <a:r>
            <a:rPr lang="en-US" sz="1100" baseline="0"/>
            <a:t> and necessary conversions will be made</a:t>
          </a:r>
          <a:endParaRPr lang="en-US" sz="1100"/>
        </a:p>
        <a:p>
          <a:r>
            <a:rPr lang="en-US" sz="1100"/>
            <a:t>           (1) IP</a:t>
          </a:r>
        </a:p>
        <a:p>
          <a:r>
            <a:rPr lang="en-US" sz="1100"/>
            <a:t>           (2) SI</a:t>
          </a:r>
        </a:p>
        <a:p>
          <a:r>
            <a:rPr lang="en-US" sz="1100">
              <a:solidFill>
                <a:schemeClr val="dk1"/>
              </a:solidFill>
              <a:effectLst/>
              <a:latin typeface="+mn-lt"/>
              <a:ea typeface="+mn-ea"/>
              <a:cs typeface="+mn-cs"/>
            </a:rPr>
            <a:t> </a:t>
          </a:r>
        </a:p>
        <a:p>
          <a:r>
            <a:rPr lang="en-US" sz="1100" b="1">
              <a:solidFill>
                <a:schemeClr val="dk1"/>
              </a:solidFill>
              <a:effectLst/>
              <a:latin typeface="+mn-lt"/>
              <a:ea typeface="+mn-ea"/>
              <a:cs typeface="+mn-cs"/>
            </a:rPr>
            <a:t>System</a:t>
          </a:r>
          <a:r>
            <a:rPr lang="en-US" sz="1100" b="1" baseline="0">
              <a:solidFill>
                <a:schemeClr val="dk1"/>
              </a:solidFill>
              <a:effectLst/>
              <a:latin typeface="+mn-lt"/>
              <a:ea typeface="+mn-ea"/>
              <a:cs typeface="+mn-cs"/>
            </a:rPr>
            <a:t> Data:  </a:t>
          </a:r>
          <a:r>
            <a:rPr lang="en-US" sz="1100" baseline="0">
              <a:solidFill>
                <a:schemeClr val="dk1"/>
              </a:solidFill>
              <a:effectLst/>
              <a:latin typeface="+mn-lt"/>
              <a:ea typeface="+mn-ea"/>
              <a:cs typeface="+mn-cs"/>
            </a:rPr>
            <a:t>The user must provide the freezing temperature (usually 0C or 32F), the tank capacity (in either Ton-Hours or kiloWatt-Hours), and the time step of the curve fit data (usually 1.0 hours).  The input for freezing temperature allows for eutectic systems or brines where the freezing temperature is not equal to the freezing temperature of water.  The tank capacity should be based on manufacturer's data for the device being chosen for simulation.  The time step of the curve fit data is typically one hour and generally does not need to be modified.  This time step must match the time step entered in with the ice storage system data in EnergyPlus.  This is the field "Timestep of the Curve Fit Data" in the ThermalStorage:Ice:Detailed object.</a:t>
          </a:r>
          <a:endParaRPr lang="en-US"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b="1">
              <a:solidFill>
                <a:schemeClr val="dk1"/>
              </a:solidFill>
              <a:effectLst/>
              <a:latin typeface="+mn-lt"/>
              <a:ea typeface="+mn-ea"/>
              <a:cs typeface="+mn-cs"/>
            </a:rPr>
            <a:t>Performance Data:</a:t>
          </a:r>
          <a:r>
            <a:rPr lang="en-US" sz="1100">
              <a:solidFill>
                <a:schemeClr val="dk1"/>
              </a:solidFill>
              <a:effectLst/>
              <a:latin typeface="+mn-lt"/>
              <a:ea typeface="+mn-ea"/>
              <a:cs typeface="+mn-cs"/>
            </a:rPr>
            <a:t>  The performance data set entered depends on the type of curve type.  Currently, with</a:t>
          </a:r>
          <a:r>
            <a:rPr lang="en-US" sz="1100" baseline="0">
              <a:solidFill>
                <a:schemeClr val="dk1"/>
              </a:solidFill>
              <a:effectLst/>
              <a:latin typeface="+mn-lt"/>
              <a:ea typeface="+mn-ea"/>
              <a:cs typeface="+mn-cs"/>
            </a:rPr>
            <a:t> the QuadraticLinear equation form,</a:t>
          </a:r>
          <a:r>
            <a:rPr lang="en-US" sz="1100">
              <a:solidFill>
                <a:schemeClr val="dk1"/>
              </a:solidFill>
              <a:effectLst/>
              <a:latin typeface="+mn-lt"/>
              <a:ea typeface="+mn-ea"/>
              <a:cs typeface="+mn-cs"/>
            </a:rPr>
            <a:t> the information</a:t>
          </a:r>
          <a:r>
            <a:rPr lang="en-US" sz="1100" baseline="0">
              <a:solidFill>
                <a:schemeClr val="dk1"/>
              </a:solidFill>
              <a:effectLst/>
              <a:latin typeface="+mn-lt"/>
              <a:ea typeface="+mn-ea"/>
              <a:cs typeface="+mn-cs"/>
            </a:rPr>
            <a:t> required by the macro includes the tank inlet and outlet temperatures, the fraction of full charge, and the load on the tank (positive value regardless of whether it is in charging or discharging mode.  Each of the data points will be utilized as follows:</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Tank Inlet and Outlet Temperature: These values are used in conjunction with the freezing temperature and a reference temperature difference to calculate the non-dimensional Log Mean Temperature Difference.  The equation for this is:  LMTDstar = (Tin-Tout)/LN((Tin-Tfreeze)/(Tout-Tfreeze))/DeltaTref where Tin is the tank inlet temperature, Tout is the tank outlet temperature, and Tfreeze is the freezing temperature.  Tin, Tout, and Tfreeze are all user inputs.  DeltaTref is the reference temperature difference which has been set to 10C=18F.  This is equivalent to the assumption made within the EnergyPlus detailed ice storage model.</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Fraction of Full Charge: This is the fraction of full charge (as a decimal fraction between 0.0-1.0) at the current time.  Note that this is fraction of full charge regardless of whether the system is charging or discharging.</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Load on the Tank: The charging or discharging rate to/from the tank for the given tank inlet and outlet temperatures at the specificed fraction of full charge.  This value will be used with the curve time step and tank capacity which the user entered to calculate Qstar.  Qstar = (Load on the Tank)*(Curve Time Step) / (Tank Capacity)</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Two samples of performance data set are included below in the “</a:t>
          </a:r>
          <a:r>
            <a:rPr lang="en-US" sz="1100" b="1">
              <a:solidFill>
                <a:schemeClr val="dk1"/>
              </a:solidFill>
              <a:effectLst/>
              <a:latin typeface="+mn-lt"/>
              <a:ea typeface="+mn-ea"/>
              <a:cs typeface="+mn-cs"/>
            </a:rPr>
            <a:t>INSTRUCTION</a:t>
          </a:r>
          <a:r>
            <a:rPr lang="en-US" sz="1100">
              <a:solidFill>
                <a:schemeClr val="dk1"/>
              </a:solidFill>
              <a:effectLst/>
              <a:latin typeface="+mn-lt"/>
              <a:ea typeface="+mn-ea"/>
              <a:cs typeface="+mn-cs"/>
            </a:rPr>
            <a:t>” tab.</a:t>
          </a:r>
          <a:r>
            <a:rPr lang="en-US" sz="1100" baseline="0">
              <a:solidFill>
                <a:schemeClr val="dk1"/>
              </a:solidFill>
              <a:effectLst/>
              <a:latin typeface="+mn-lt"/>
              <a:ea typeface="+mn-ea"/>
              <a:cs typeface="+mn-cs"/>
            </a:rPr>
            <a:t>  The curve fit tool can handle any range of inputs and is not limited by the number of data points in the two sample of performance data provided.</a:t>
          </a:r>
          <a:endParaRPr lang="en-US" sz="1100">
            <a:solidFill>
              <a:schemeClr val="dk1"/>
            </a:solidFill>
            <a:effectLst/>
            <a:latin typeface="+mn-lt"/>
            <a:ea typeface="+mn-ea"/>
            <a:cs typeface="+mn-cs"/>
          </a:endParaRPr>
        </a:p>
        <a:p>
          <a:endParaRPr lang="en-US" sz="1100"/>
        </a:p>
        <a:p>
          <a:r>
            <a:rPr lang="en-US" sz="1100" b="1"/>
            <a:t>OUTPUTS:</a:t>
          </a:r>
        </a:p>
        <a:p>
          <a:r>
            <a:rPr lang="en-US" sz="1100">
              <a:solidFill>
                <a:schemeClr val="dk1"/>
              </a:solidFill>
              <a:effectLst/>
              <a:latin typeface="+mn-lt"/>
              <a:ea typeface="+mn-ea"/>
              <a:cs typeface="+mn-cs"/>
            </a:rPr>
            <a:t>The goodness of curve fit indicator statistical parameters </a:t>
          </a:r>
          <a:r>
            <a:rPr lang="en-US" sz="1100" i="1">
              <a:solidFill>
                <a:schemeClr val="dk1"/>
              </a:solidFill>
              <a:effectLst/>
              <a:latin typeface="+mn-lt"/>
              <a:ea typeface="+mn-ea"/>
              <a:cs typeface="+mn-cs"/>
            </a:rPr>
            <a:t>R</a:t>
          </a:r>
          <a:r>
            <a:rPr lang="en-US" sz="1100" i="1" baseline="30000">
              <a:solidFill>
                <a:schemeClr val="dk1"/>
              </a:solidFill>
              <a:effectLst/>
              <a:latin typeface="+mn-lt"/>
              <a:ea typeface="+mn-ea"/>
              <a:cs typeface="+mn-cs"/>
            </a:rPr>
            <a:t>2</a:t>
          </a:r>
          <a:r>
            <a:rPr lang="en-US" sz="1100">
              <a:solidFill>
                <a:schemeClr val="dk1"/>
              </a:solidFill>
              <a:effectLst/>
              <a:latin typeface="+mn-lt"/>
              <a:ea typeface="+mn-ea"/>
              <a:cs typeface="+mn-cs"/>
            </a:rPr>
            <a:t> is also reported.  The </a:t>
          </a:r>
          <a:r>
            <a:rPr lang="en-US" sz="1100" i="1">
              <a:solidFill>
                <a:schemeClr val="dk1"/>
              </a:solidFill>
              <a:effectLst/>
              <a:latin typeface="+mn-lt"/>
              <a:ea typeface="+mn-ea"/>
              <a:cs typeface="+mn-cs"/>
            </a:rPr>
            <a:t>R</a:t>
          </a:r>
          <a:r>
            <a:rPr lang="en-US" sz="1100" i="1" baseline="30000">
              <a:solidFill>
                <a:schemeClr val="dk1"/>
              </a:solidFill>
              <a:effectLst/>
              <a:latin typeface="+mn-lt"/>
              <a:ea typeface="+mn-ea"/>
              <a:cs typeface="+mn-cs"/>
            </a:rPr>
            <a:t>2</a:t>
          </a:r>
          <a:r>
            <a:rPr lang="en-US" sz="1100">
              <a:solidFill>
                <a:schemeClr val="dk1"/>
              </a:solidFill>
              <a:effectLst/>
              <a:latin typeface="+mn-lt"/>
              <a:ea typeface="+mn-ea"/>
              <a:cs typeface="+mn-cs"/>
            </a:rPr>
            <a:t> is the ratio of the sum of the squared deviations of the curve fit values from the mean to the sum of the squared deviations of the original data from the mean.  R squared values closer to 1.0 are good.  The tool has an option to save the curve object into an output file by running another macro (SaveCurveObjToTextFile).  The option output files and the directory path are specified in the OUTPUT tab in cells C2 and C3, respectively. If the output file name and path are left blank, then default names, "EplusCurveObjects.IDF" and the local directory where the tool is located are used.  The local directory where the tool is located must not have write restriction.</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It should be noted that the curve fit tool will calculate maximum</a:t>
          </a:r>
          <a:r>
            <a:rPr lang="en-US" sz="1100" baseline="0">
              <a:solidFill>
                <a:schemeClr val="dk1"/>
              </a:solidFill>
              <a:effectLst/>
              <a:latin typeface="+mn-lt"/>
              <a:ea typeface="+mn-ea"/>
              <a:cs typeface="+mn-cs"/>
            </a:rPr>
            <a:t> and minimum values for X (fraction of full charge), Y (LMTDstar), and the curve output (Qstar).  These are based on the performance data provided in the tool.  These minimum and maximum values will be used by EnergyPlus to limit values for these different variables.  For example, if the data provided has a maximum fraction of full charge of 0.7, then the curve fit will have a maximum allowed fraction of full charge of 0.7.  Within EnergyPlus, that means that any fraction of full charge above 0.7 will be set to 0.7.  This is likely undesirable as it will thus not reflect the performance of the ice storage system properly.  There are two ways to resolve this and avoid this misinterpretation of the data.  First, the user should select performance data that will properly bracket the potential performance limits (0-100% fraction of full charge, all temperature ranges, etc.).  This is the best way to ensure proper performance predictions at a wide range of conditions.  Second, the user can manually alter the maximum and minimum values to allow extrapolation beyond the data provided.  While this second approach is not as accurate as the first, it would likely allow better predictions than enforcing the maximum and minimum values and not allowing any deviations outside these ranges.</a:t>
          </a:r>
          <a:endParaRPr lang="en-US" sz="1100">
            <a:solidFill>
              <a:schemeClr val="dk1"/>
            </a:solidFill>
            <a:effectLst/>
            <a:latin typeface="+mn-lt"/>
            <a:ea typeface="+mn-ea"/>
            <a:cs typeface="+mn-cs"/>
          </a:endParaRPr>
        </a:p>
        <a:p>
          <a:endParaRPr lang="en-US" sz="1100"/>
        </a:p>
        <a:p>
          <a:r>
            <a:rPr lang="en-US" sz="1100" b="1">
              <a:solidFill>
                <a:schemeClr val="dk1"/>
              </a:solidFill>
              <a:effectLst/>
              <a:latin typeface="+mn-lt"/>
              <a:ea typeface="+mn-ea"/>
              <a:cs typeface="+mn-cs"/>
            </a:rPr>
            <a:t>ERROR MESSAGE:</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Reports progress of the curve object generation calculation starting from reading input data to error massage output file "errorCurveObjects.txt".  This error message file provides information whether the tool run successfully or not.  Also points to the step where problem occurred.</a:t>
          </a:r>
        </a:p>
        <a:p>
          <a:r>
            <a:rPr lang="en-US" sz="1100">
              <a:solidFill>
                <a:schemeClr val="dk1"/>
              </a:solidFill>
              <a:effectLst/>
              <a:latin typeface="+mn-lt"/>
              <a:ea typeface="+mn-ea"/>
              <a:cs typeface="+mn-cs"/>
            </a:rPr>
            <a:t> </a:t>
          </a:r>
        </a:p>
        <a:p>
          <a:r>
            <a:rPr lang="en-US" sz="1100" b="1">
              <a:solidFill>
                <a:schemeClr val="dk1"/>
              </a:solidFill>
              <a:effectLst/>
              <a:latin typeface="+mn-lt"/>
              <a:ea typeface="+mn-ea"/>
              <a:cs typeface="+mn-cs"/>
            </a:rPr>
            <a:t>Notes: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This tool has developed using Excel for Macintosh 2011.  This file was tested both on</a:t>
          </a:r>
          <a:r>
            <a:rPr lang="en-US" sz="1100" baseline="0">
              <a:solidFill>
                <a:schemeClr val="dk1"/>
              </a:solidFill>
              <a:effectLst/>
              <a:latin typeface="+mn-lt"/>
              <a:ea typeface="+mn-ea"/>
              <a:cs typeface="+mn-cs"/>
            </a:rPr>
            <a:t> in Mac OSX 10.9.2 in Excel for Macintosh 2011 and in Windows XP (run through Parallels on a Mac) in Excel 2007.</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you are using a Mac OSX machine, you may need to change the name of the output file path name in the output tab to reflect the Mac OSX system.  The last character in this cell should be changed from a "\" to a ":".</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p>
        <a:p>
          <a:r>
            <a:rPr lang="en-US" sz="1100" b="1">
              <a:solidFill>
                <a:schemeClr val="dk1"/>
              </a:solidFill>
              <a:effectLst/>
              <a:latin typeface="+mn-lt"/>
              <a:ea typeface="+mn-ea"/>
              <a:cs typeface="+mn-cs"/>
            </a:rPr>
            <a:t>References: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HVAC Curve Fit Tool (CurveFitTool.xlsm)</a:t>
          </a:r>
          <a:r>
            <a:rPr lang="en-US" sz="1100" baseline="0">
              <a:solidFill>
                <a:schemeClr val="dk1"/>
              </a:solidFill>
              <a:effectLst/>
              <a:latin typeface="+mn-lt"/>
              <a:ea typeface="+mn-ea"/>
              <a:cs typeface="+mn-cs"/>
            </a:rPr>
            <a:t> written for HVAC curve fitting by Bereket Nigusse of Florida Solar Energy Center.  The work done in this file is based heavily on the HVAC Curve Fit Tool.</a:t>
          </a:r>
          <a:endParaRPr lang="en-US" sz="1100">
            <a:solidFill>
              <a:schemeClr val="dk1"/>
            </a:solidFill>
            <a:effectLst/>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101600</xdr:colOff>
          <xdr:row>3</xdr:row>
          <xdr:rowOff>0</xdr:rowOff>
        </xdr:from>
        <xdr:to>
          <xdr:col>4</xdr:col>
          <xdr:colOff>1409700</xdr:colOff>
          <xdr:row>4</xdr:row>
          <xdr:rowOff>127000</xdr:rowOff>
        </xdr:to>
        <xdr:sp macro="" textlink="">
          <xdr:nvSpPr>
            <xdr:cNvPr id="2068" name="Button 20" hidden="1">
              <a:extLst>
                <a:ext uri="{63B3BB69-23CF-44E3-9099-C40C66FF867C}">
                  <a14:compatExt spid="_x0000_s206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FF"/>
                  </a:solidFill>
                  <a:latin typeface="Calibri"/>
                  <a:ea typeface="Calibri"/>
                  <a:cs typeface="Calibri"/>
                </a:rPr>
                <a:t>Press To Generate Curves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12700</xdr:colOff>
          <xdr:row>4</xdr:row>
          <xdr:rowOff>0</xdr:rowOff>
        </xdr:from>
        <xdr:to>
          <xdr:col>6</xdr:col>
          <xdr:colOff>292100</xdr:colOff>
          <xdr:row>6</xdr:row>
          <xdr:rowOff>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400" b="1" i="0" u="none" strike="noStrike" baseline="0">
                  <a:solidFill>
                    <a:srgbClr val="0000FF"/>
                  </a:solidFill>
                  <a:latin typeface="Calibri"/>
                  <a:ea typeface="Calibri"/>
                  <a:cs typeface="Calibri"/>
                </a:rPr>
                <a:t>Save Curve Objects to a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2.vml"/><Relationship Id="rId3"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80:G205"/>
  <sheetViews>
    <sheetView tabSelected="1" workbookViewId="0">
      <selection activeCell="F184" sqref="F184:G185"/>
    </sheetView>
  </sheetViews>
  <sheetFormatPr baseColWidth="10" defaultColWidth="8.83203125" defaultRowHeight="14" x14ac:dyDescent="0"/>
  <cols>
    <col min="1" max="1" width="18.33203125" customWidth="1"/>
    <col min="2" max="2" width="18.1640625" customWidth="1"/>
    <col min="3" max="3" width="19.83203125" customWidth="1"/>
    <col min="4" max="4" width="19.5" customWidth="1"/>
    <col min="5" max="5" width="9.1640625" customWidth="1"/>
    <col min="6" max="6" width="20.83203125" customWidth="1"/>
    <col min="7" max="7" width="19.1640625" customWidth="1"/>
    <col min="8" max="10" width="10.5" customWidth="1"/>
    <col min="11" max="11" width="15.5" customWidth="1"/>
    <col min="12" max="12" width="16.1640625" customWidth="1"/>
    <col min="13" max="13" width="13.5" customWidth="1"/>
    <col min="14" max="14" width="11.83203125" customWidth="1"/>
    <col min="16" max="17" width="10.33203125" customWidth="1"/>
    <col min="18" max="18" width="11.6640625" customWidth="1"/>
    <col min="19" max="19" width="12.5" customWidth="1"/>
    <col min="20" max="22" width="10.33203125" customWidth="1"/>
  </cols>
  <sheetData>
    <row r="80" spans="1:6" ht="15">
      <c r="A80" s="50" t="s">
        <v>45</v>
      </c>
      <c r="F80" s="50" t="s">
        <v>46</v>
      </c>
    </row>
    <row r="82" spans="1:7">
      <c r="A82" s="46" t="s">
        <v>21</v>
      </c>
      <c r="B82" s="47" t="s">
        <v>22</v>
      </c>
      <c r="C82" s="48" t="s">
        <v>24</v>
      </c>
    </row>
    <row r="83" spans="1:7">
      <c r="A83" s="43" t="s">
        <v>15</v>
      </c>
      <c r="B83" s="44" t="s">
        <v>26</v>
      </c>
      <c r="C83" s="45" t="s">
        <v>25</v>
      </c>
      <c r="F83" s="3" t="s">
        <v>14</v>
      </c>
      <c r="G83" t="s">
        <v>32</v>
      </c>
    </row>
    <row r="84" spans="1:7">
      <c r="A84" s="29">
        <v>32</v>
      </c>
      <c r="B84" s="29">
        <v>50</v>
      </c>
      <c r="C84" s="29">
        <v>1</v>
      </c>
      <c r="F84" s="5" t="s">
        <v>19</v>
      </c>
      <c r="G84" t="s">
        <v>41</v>
      </c>
    </row>
    <row r="85" spans="1:7">
      <c r="A85" s="2"/>
      <c r="B85" s="2"/>
      <c r="C85" s="2"/>
      <c r="D85" s="2"/>
    </row>
    <row r="86" spans="1:7" ht="28">
      <c r="A86" s="11" t="s">
        <v>27</v>
      </c>
      <c r="B86" s="12" t="s">
        <v>28</v>
      </c>
      <c r="C86" s="12" t="s">
        <v>31</v>
      </c>
      <c r="D86" s="13" t="s">
        <v>42</v>
      </c>
    </row>
    <row r="87" spans="1:7">
      <c r="A87" s="14" t="s">
        <v>15</v>
      </c>
      <c r="B87" s="15" t="s">
        <v>15</v>
      </c>
      <c r="C87" s="15"/>
      <c r="D87" s="16" t="s">
        <v>23</v>
      </c>
      <c r="F87" s="33" t="s">
        <v>38</v>
      </c>
      <c r="G87" s="34" t="s">
        <v>4</v>
      </c>
    </row>
    <row r="88" spans="1:7" ht="15">
      <c r="A88" s="49">
        <v>27.75</v>
      </c>
      <c r="B88" s="49">
        <v>30</v>
      </c>
      <c r="C88" s="49">
        <v>0.3</v>
      </c>
      <c r="D88">
        <v>4.3</v>
      </c>
      <c r="F88" s="37" t="s">
        <v>33</v>
      </c>
      <c r="G88" s="34"/>
    </row>
    <row r="89" spans="1:7" ht="15">
      <c r="A89" s="49">
        <v>27.75</v>
      </c>
      <c r="B89" s="49">
        <v>30</v>
      </c>
      <c r="C89" s="49">
        <v>0.4</v>
      </c>
      <c r="D89">
        <v>3.5000000000000004</v>
      </c>
      <c r="F89" s="37" t="s">
        <v>34</v>
      </c>
      <c r="G89" s="34" t="s">
        <v>13</v>
      </c>
    </row>
    <row r="90" spans="1:7" ht="15">
      <c r="A90" s="49">
        <v>27.75</v>
      </c>
      <c r="B90" s="49">
        <v>30</v>
      </c>
      <c r="C90" s="49">
        <v>0.5</v>
      </c>
      <c r="D90">
        <v>3</v>
      </c>
      <c r="F90" s="37">
        <v>-3.4838173999999999E-3</v>
      </c>
      <c r="G90" s="34" t="s">
        <v>5</v>
      </c>
    </row>
    <row r="91" spans="1:7" ht="15">
      <c r="A91" s="49">
        <v>27.75</v>
      </c>
      <c r="B91" s="49">
        <v>30</v>
      </c>
      <c r="C91" s="49">
        <v>0.6</v>
      </c>
      <c r="D91">
        <v>2.7</v>
      </c>
      <c r="F91" s="37">
        <v>4.28069061E-2</v>
      </c>
      <c r="G91" s="34" t="s">
        <v>6</v>
      </c>
    </row>
    <row r="92" spans="1:7" ht="15">
      <c r="A92" s="49">
        <v>27.75</v>
      </c>
      <c r="B92" s="49">
        <v>30</v>
      </c>
      <c r="C92" s="49">
        <v>0.7</v>
      </c>
      <c r="D92">
        <v>2.4</v>
      </c>
      <c r="F92" s="37">
        <v>-4.8921695199999997E-2</v>
      </c>
      <c r="G92" s="34" t="s">
        <v>7</v>
      </c>
    </row>
    <row r="93" spans="1:7" ht="15">
      <c r="A93" s="49">
        <v>27.75</v>
      </c>
      <c r="B93" s="49">
        <v>30</v>
      </c>
      <c r="C93" s="49">
        <v>0.8</v>
      </c>
      <c r="D93">
        <v>2.1</v>
      </c>
      <c r="F93" s="37">
        <v>-0.62009513800000005</v>
      </c>
      <c r="G93" s="34" t="s">
        <v>16</v>
      </c>
    </row>
    <row r="94" spans="1:7" ht="15">
      <c r="A94" s="49">
        <v>27.75</v>
      </c>
      <c r="B94" s="49">
        <v>30</v>
      </c>
      <c r="C94" s="49">
        <v>0.9</v>
      </c>
      <c r="D94">
        <v>1.5</v>
      </c>
      <c r="F94" s="37">
        <v>0.54901665919999998</v>
      </c>
      <c r="G94" s="34" t="s">
        <v>35</v>
      </c>
    </row>
    <row r="95" spans="1:7" ht="15">
      <c r="A95" s="49">
        <v>27.75</v>
      </c>
      <c r="B95" s="49">
        <v>30</v>
      </c>
      <c r="C95" s="49">
        <v>1</v>
      </c>
      <c r="D95">
        <v>0.44999999999999996</v>
      </c>
      <c r="F95" s="37">
        <v>-7.0718017999999994E-2</v>
      </c>
      <c r="G95" s="34" t="s">
        <v>36</v>
      </c>
    </row>
    <row r="96" spans="1:7" ht="15">
      <c r="A96" s="49">
        <v>20.75</v>
      </c>
      <c r="B96" s="49">
        <v>28</v>
      </c>
      <c r="C96" s="49">
        <v>0.3</v>
      </c>
      <c r="D96">
        <v>9.5500000000000007</v>
      </c>
      <c r="F96" s="40">
        <v>0.3</v>
      </c>
      <c r="G96" s="34" t="s">
        <v>8</v>
      </c>
    </row>
    <row r="97" spans="1:7" ht="15">
      <c r="A97" s="49">
        <v>20.75</v>
      </c>
      <c r="B97" s="49">
        <v>28</v>
      </c>
      <c r="C97" s="49">
        <v>0.4</v>
      </c>
      <c r="D97">
        <v>8.2000000000000011</v>
      </c>
      <c r="F97" s="40">
        <v>1</v>
      </c>
      <c r="G97" s="34" t="s">
        <v>9</v>
      </c>
    </row>
    <row r="98" spans="1:7" ht="15">
      <c r="A98" s="49">
        <v>20.75</v>
      </c>
      <c r="B98" s="49">
        <v>28</v>
      </c>
      <c r="C98" s="49">
        <v>0.5</v>
      </c>
      <c r="D98">
        <v>7.1999999999999993</v>
      </c>
      <c r="F98" s="40">
        <v>-0.61</v>
      </c>
      <c r="G98" s="34" t="s">
        <v>17</v>
      </c>
    </row>
    <row r="99" spans="1:7" ht="15">
      <c r="A99" s="49">
        <v>20.75</v>
      </c>
      <c r="B99" s="49">
        <v>28</v>
      </c>
      <c r="C99" s="49">
        <v>0.6</v>
      </c>
      <c r="D99">
        <v>6.35</v>
      </c>
      <c r="F99" s="40">
        <v>0</v>
      </c>
      <c r="G99" s="34" t="s">
        <v>18</v>
      </c>
    </row>
    <row r="100" spans="1:7" ht="15">
      <c r="A100" s="49">
        <v>20.75</v>
      </c>
      <c r="B100" s="49">
        <v>28</v>
      </c>
      <c r="C100" s="49">
        <v>0.7</v>
      </c>
      <c r="D100">
        <v>5.55</v>
      </c>
      <c r="F100" s="38">
        <v>8.9999999999999993E-3</v>
      </c>
      <c r="G100" s="34" t="s">
        <v>10</v>
      </c>
    </row>
    <row r="101" spans="1:7" ht="15">
      <c r="A101" s="49">
        <v>20.75</v>
      </c>
      <c r="B101" s="49">
        <v>28</v>
      </c>
      <c r="C101" s="49">
        <v>0.8</v>
      </c>
      <c r="D101">
        <v>4.7</v>
      </c>
      <c r="F101" s="38">
        <v>0.29399999999999998</v>
      </c>
      <c r="G101" s="34" t="s">
        <v>11</v>
      </c>
    </row>
    <row r="102" spans="1:7" ht="15">
      <c r="A102" s="49">
        <v>20.75</v>
      </c>
      <c r="B102" s="49">
        <v>28</v>
      </c>
      <c r="C102" s="49">
        <v>0.9</v>
      </c>
      <c r="D102">
        <v>3.55</v>
      </c>
      <c r="F102" s="33"/>
      <c r="G102" s="34" t="s">
        <v>37</v>
      </c>
    </row>
    <row r="103" spans="1:7" ht="15">
      <c r="A103" s="49">
        <v>20.75</v>
      </c>
      <c r="B103" s="49">
        <v>28</v>
      </c>
      <c r="C103" s="49">
        <v>1</v>
      </c>
      <c r="D103">
        <v>1.95</v>
      </c>
      <c r="F103" s="33"/>
      <c r="G103" s="34" t="s">
        <v>37</v>
      </c>
    </row>
    <row r="104" spans="1:7" ht="15">
      <c r="A104" s="49">
        <v>8.5500000000000007</v>
      </c>
      <c r="B104" s="49">
        <v>28</v>
      </c>
      <c r="C104" s="49">
        <v>0.3</v>
      </c>
      <c r="D104">
        <v>14.7</v>
      </c>
      <c r="F104" s="33"/>
      <c r="G104" s="34" t="s">
        <v>37</v>
      </c>
    </row>
    <row r="105" spans="1:7" ht="15">
      <c r="A105" s="49">
        <v>8.5500000000000007</v>
      </c>
      <c r="B105" s="49">
        <v>28</v>
      </c>
      <c r="C105" s="49">
        <v>0.4</v>
      </c>
      <c r="D105">
        <v>12.55</v>
      </c>
    </row>
    <row r="106" spans="1:7" ht="15">
      <c r="A106" s="49">
        <v>8.5500000000000007</v>
      </c>
      <c r="B106" s="49">
        <v>28</v>
      </c>
      <c r="C106" s="49">
        <v>0.5</v>
      </c>
      <c r="D106">
        <v>11</v>
      </c>
    </row>
    <row r="107" spans="1:7" ht="15">
      <c r="A107" s="49">
        <v>8.5500000000000007</v>
      </c>
      <c r="B107" s="49">
        <v>28</v>
      </c>
      <c r="C107" s="49">
        <v>0.6</v>
      </c>
      <c r="D107">
        <v>9.7000000000000011</v>
      </c>
    </row>
    <row r="108" spans="1:7" ht="15">
      <c r="A108" s="49">
        <v>8.5500000000000007</v>
      </c>
      <c r="B108" s="49">
        <v>28</v>
      </c>
      <c r="C108" s="49">
        <v>0.7</v>
      </c>
      <c r="D108">
        <v>8.4500000000000011</v>
      </c>
    </row>
    <row r="109" spans="1:7" ht="15">
      <c r="A109" s="49">
        <v>8.5500000000000007</v>
      </c>
      <c r="B109" s="49">
        <v>28</v>
      </c>
      <c r="C109" s="49">
        <v>0.8</v>
      </c>
      <c r="D109">
        <v>7.2499999999999991</v>
      </c>
    </row>
    <row r="110" spans="1:7" ht="15">
      <c r="A110" s="49">
        <v>8.5500000000000007</v>
      </c>
      <c r="B110" s="49">
        <v>28</v>
      </c>
      <c r="C110" s="49">
        <v>0.9</v>
      </c>
      <c r="D110">
        <v>5.65</v>
      </c>
    </row>
    <row r="111" spans="1:7" ht="15">
      <c r="A111" s="49">
        <v>8.5500000000000007</v>
      </c>
      <c r="B111" s="49">
        <v>28</v>
      </c>
      <c r="C111" s="49">
        <v>1</v>
      </c>
      <c r="D111">
        <v>3.5000000000000004</v>
      </c>
    </row>
    <row r="115" spans="1:7" ht="15">
      <c r="A115" s="50" t="s">
        <v>47</v>
      </c>
      <c r="F115" s="50" t="s">
        <v>48</v>
      </c>
    </row>
    <row r="117" spans="1:7">
      <c r="A117" s="46" t="s">
        <v>21</v>
      </c>
      <c r="B117" s="47" t="s">
        <v>22</v>
      </c>
      <c r="C117" s="48" t="s">
        <v>24</v>
      </c>
    </row>
    <row r="118" spans="1:7">
      <c r="A118" s="43" t="s">
        <v>15</v>
      </c>
      <c r="B118" s="44" t="s">
        <v>26</v>
      </c>
      <c r="C118" s="45" t="s">
        <v>25</v>
      </c>
      <c r="F118" s="3" t="s">
        <v>14</v>
      </c>
      <c r="G118" t="s">
        <v>32</v>
      </c>
    </row>
    <row r="119" spans="1:7">
      <c r="A119" s="29">
        <v>32</v>
      </c>
      <c r="B119" s="29">
        <v>50</v>
      </c>
      <c r="C119" s="29">
        <v>1</v>
      </c>
      <c r="F119" s="5" t="s">
        <v>19</v>
      </c>
      <c r="G119" t="s">
        <v>41</v>
      </c>
    </row>
    <row r="120" spans="1:7">
      <c r="A120" s="2"/>
      <c r="B120" s="2"/>
      <c r="C120" s="2"/>
      <c r="D120" s="2"/>
    </row>
    <row r="121" spans="1:7" ht="28">
      <c r="A121" s="11" t="s">
        <v>27</v>
      </c>
      <c r="B121" s="12" t="s">
        <v>28</v>
      </c>
      <c r="C121" s="12" t="s">
        <v>31</v>
      </c>
      <c r="D121" s="13" t="s">
        <v>43</v>
      </c>
    </row>
    <row r="122" spans="1:7">
      <c r="A122" s="14" t="s">
        <v>15</v>
      </c>
      <c r="B122" s="15" t="s">
        <v>15</v>
      </c>
      <c r="C122" s="15"/>
      <c r="D122" s="16" t="s">
        <v>23</v>
      </c>
      <c r="F122" s="33" t="s">
        <v>39</v>
      </c>
      <c r="G122" s="34" t="s">
        <v>4</v>
      </c>
    </row>
    <row r="123" spans="1:7">
      <c r="A123">
        <v>37.200000000000003</v>
      </c>
      <c r="B123">
        <v>35</v>
      </c>
      <c r="C123">
        <v>0.7</v>
      </c>
      <c r="D123">
        <v>5.65</v>
      </c>
      <c r="F123" s="37" t="s">
        <v>33</v>
      </c>
      <c r="G123" s="34"/>
    </row>
    <row r="124" spans="1:7">
      <c r="A124">
        <v>37.200000000000003</v>
      </c>
      <c r="B124">
        <v>35</v>
      </c>
      <c r="C124">
        <v>0.6</v>
      </c>
      <c r="D124">
        <v>5</v>
      </c>
      <c r="F124" s="37" t="s">
        <v>40</v>
      </c>
      <c r="G124" s="34" t="s">
        <v>13</v>
      </c>
    </row>
    <row r="125" spans="1:7">
      <c r="A125">
        <v>37.200000000000003</v>
      </c>
      <c r="B125">
        <v>35</v>
      </c>
      <c r="C125">
        <v>0.5</v>
      </c>
      <c r="D125">
        <v>4.45</v>
      </c>
      <c r="F125" s="37">
        <v>-2.4526204000000001E-3</v>
      </c>
      <c r="G125" s="34" t="s">
        <v>5</v>
      </c>
    </row>
    <row r="126" spans="1:7">
      <c r="A126">
        <v>37.200000000000003</v>
      </c>
      <c r="B126">
        <v>35</v>
      </c>
      <c r="C126">
        <v>0.4</v>
      </c>
      <c r="D126">
        <v>4</v>
      </c>
      <c r="F126" s="37">
        <v>7.1390820300000005E-2</v>
      </c>
      <c r="G126" s="34" t="s">
        <v>6</v>
      </c>
    </row>
    <row r="127" spans="1:7">
      <c r="A127">
        <v>37.200000000000003</v>
      </c>
      <c r="B127">
        <v>35</v>
      </c>
      <c r="C127">
        <v>0.30000000000000004</v>
      </c>
      <c r="D127">
        <v>3.4000000000000004</v>
      </c>
      <c r="F127" s="37">
        <v>-9.1095746899999996E-2</v>
      </c>
      <c r="G127" s="34" t="s">
        <v>7</v>
      </c>
    </row>
    <row r="128" spans="1:7">
      <c r="A128">
        <v>37.200000000000003</v>
      </c>
      <c r="B128">
        <v>35</v>
      </c>
      <c r="C128">
        <v>0.19999999999999996</v>
      </c>
      <c r="D128">
        <v>2.8000000000000003</v>
      </c>
      <c r="F128" s="37">
        <v>6.9036563800000006E-2</v>
      </c>
      <c r="G128" s="34" t="s">
        <v>16</v>
      </c>
    </row>
    <row r="129" spans="1:7">
      <c r="A129">
        <v>37.200000000000003</v>
      </c>
      <c r="B129">
        <v>35</v>
      </c>
      <c r="C129">
        <v>9.9999999999999978E-2</v>
      </c>
      <c r="D129">
        <v>2</v>
      </c>
      <c r="F129" s="37">
        <v>0.67334702430000004</v>
      </c>
      <c r="G129" s="34" t="s">
        <v>35</v>
      </c>
    </row>
    <row r="130" spans="1:7">
      <c r="A130">
        <v>37.200000000000003</v>
      </c>
      <c r="B130">
        <v>35</v>
      </c>
      <c r="C130">
        <v>0</v>
      </c>
      <c r="D130">
        <v>0.35000000000000003</v>
      </c>
      <c r="F130" s="37">
        <v>-0.13385012630000001</v>
      </c>
      <c r="G130" s="34" t="s">
        <v>36</v>
      </c>
    </row>
    <row r="131" spans="1:7">
      <c r="A131">
        <v>54.45</v>
      </c>
      <c r="B131">
        <v>40</v>
      </c>
      <c r="C131">
        <v>0.7</v>
      </c>
      <c r="D131">
        <v>18.95</v>
      </c>
      <c r="F131" s="40">
        <v>0</v>
      </c>
      <c r="G131" s="34" t="s">
        <v>8</v>
      </c>
    </row>
    <row r="132" spans="1:7">
      <c r="A132">
        <v>54.45</v>
      </c>
      <c r="B132">
        <v>40</v>
      </c>
      <c r="C132">
        <v>0.6</v>
      </c>
      <c r="D132">
        <v>16.45</v>
      </c>
      <c r="F132" s="40">
        <v>0.7</v>
      </c>
      <c r="G132" s="34" t="s">
        <v>9</v>
      </c>
    </row>
    <row r="133" spans="1:7">
      <c r="A133">
        <v>54.45</v>
      </c>
      <c r="B133">
        <v>40</v>
      </c>
      <c r="C133">
        <v>0.5</v>
      </c>
      <c r="D133">
        <v>14.6</v>
      </c>
      <c r="F133" s="40">
        <v>0.22</v>
      </c>
      <c r="G133" s="34" t="s">
        <v>17</v>
      </c>
    </row>
    <row r="134" spans="1:7">
      <c r="A134">
        <v>54.45</v>
      </c>
      <c r="B134">
        <v>40</v>
      </c>
      <c r="C134">
        <v>0.4</v>
      </c>
      <c r="D134">
        <v>12.65</v>
      </c>
      <c r="F134" s="40">
        <v>0.89</v>
      </c>
      <c r="G134" s="34" t="s">
        <v>18</v>
      </c>
    </row>
    <row r="135" spans="1:7">
      <c r="A135">
        <v>54.45</v>
      </c>
      <c r="B135">
        <v>40</v>
      </c>
      <c r="C135">
        <v>0.30000000000000004</v>
      </c>
      <c r="D135">
        <v>10.6</v>
      </c>
      <c r="F135" s="38">
        <v>7.0000000000000001E-3</v>
      </c>
      <c r="G135" s="34" t="s">
        <v>10</v>
      </c>
    </row>
    <row r="136" spans="1:7">
      <c r="A136">
        <v>54.45</v>
      </c>
      <c r="B136">
        <v>40</v>
      </c>
      <c r="C136">
        <v>0.19999999999999996</v>
      </c>
      <c r="D136">
        <v>8.6499999999999986</v>
      </c>
      <c r="F136" s="38">
        <v>0.437</v>
      </c>
      <c r="G136" s="34" t="s">
        <v>11</v>
      </c>
    </row>
    <row r="137" spans="1:7">
      <c r="A137">
        <v>54.45</v>
      </c>
      <c r="B137">
        <v>40</v>
      </c>
      <c r="C137">
        <v>9.9999999999999978E-2</v>
      </c>
      <c r="D137">
        <v>6.5500000000000007</v>
      </c>
      <c r="F137" s="33"/>
      <c r="G137" s="34" t="s">
        <v>37</v>
      </c>
    </row>
    <row r="138" spans="1:7">
      <c r="A138">
        <v>54.45</v>
      </c>
      <c r="B138">
        <v>40</v>
      </c>
      <c r="C138">
        <v>0</v>
      </c>
      <c r="D138">
        <v>1.6500000000000001</v>
      </c>
      <c r="F138" s="33"/>
      <c r="G138" s="34" t="s">
        <v>37</v>
      </c>
    </row>
    <row r="139" spans="1:7">
      <c r="A139">
        <v>57.95</v>
      </c>
      <c r="B139">
        <v>41</v>
      </c>
      <c r="C139">
        <v>0.7</v>
      </c>
      <c r="D139">
        <v>21.85</v>
      </c>
      <c r="F139" s="33"/>
      <c r="G139" s="34" t="s">
        <v>37</v>
      </c>
    </row>
    <row r="140" spans="1:7">
      <c r="A140">
        <v>57.95</v>
      </c>
      <c r="B140">
        <v>41</v>
      </c>
      <c r="C140">
        <v>0.6</v>
      </c>
      <c r="D140">
        <v>19.25</v>
      </c>
    </row>
    <row r="141" spans="1:7">
      <c r="A141">
        <v>57.95</v>
      </c>
      <c r="B141">
        <v>41</v>
      </c>
      <c r="C141">
        <v>0.5</v>
      </c>
      <c r="D141">
        <v>16.600000000000001</v>
      </c>
    </row>
    <row r="142" spans="1:7">
      <c r="A142">
        <v>57.95</v>
      </c>
      <c r="B142">
        <v>41</v>
      </c>
      <c r="C142">
        <v>0.4</v>
      </c>
      <c r="D142">
        <v>14.099999999999998</v>
      </c>
    </row>
    <row r="143" spans="1:7">
      <c r="A143">
        <v>57.95</v>
      </c>
      <c r="B143">
        <v>41</v>
      </c>
      <c r="C143">
        <v>0.30000000000000004</v>
      </c>
      <c r="D143">
        <v>11.899999999999999</v>
      </c>
    </row>
    <row r="144" spans="1:7">
      <c r="A144">
        <v>57.95</v>
      </c>
      <c r="B144">
        <v>41</v>
      </c>
      <c r="C144">
        <v>0.19999999999999996</v>
      </c>
      <c r="D144">
        <v>9.7000000000000011</v>
      </c>
    </row>
    <row r="145" spans="1:7">
      <c r="A145">
        <v>57.95</v>
      </c>
      <c r="B145">
        <v>41</v>
      </c>
      <c r="C145">
        <v>9.9999999999999978E-2</v>
      </c>
      <c r="D145">
        <v>7.3999999999999995</v>
      </c>
    </row>
    <row r="146" spans="1:7">
      <c r="A146">
        <v>57.95</v>
      </c>
      <c r="B146">
        <v>41</v>
      </c>
      <c r="C146">
        <v>0</v>
      </c>
      <c r="D146">
        <v>1.95</v>
      </c>
    </row>
    <row r="150" spans="1:7" ht="15">
      <c r="A150" s="50" t="s">
        <v>62</v>
      </c>
      <c r="F150" s="50" t="s">
        <v>61</v>
      </c>
    </row>
    <row r="152" spans="1:7">
      <c r="A152" s="46" t="s">
        <v>21</v>
      </c>
      <c r="B152" s="47" t="s">
        <v>22</v>
      </c>
      <c r="C152" s="48" t="s">
        <v>24</v>
      </c>
    </row>
    <row r="153" spans="1:7">
      <c r="A153" s="43" t="str">
        <f>IF(UnitsType="IP", "oF","oC")</f>
        <v>oF</v>
      </c>
      <c r="B153" s="44" t="str">
        <f>IF(UnitsType="IP","Ton-Hours","kW-Hours")</f>
        <v>Ton-Hours</v>
      </c>
      <c r="C153" s="45" t="s">
        <v>25</v>
      </c>
      <c r="F153" s="3" t="s">
        <v>14</v>
      </c>
      <c r="G153" t="s">
        <v>32</v>
      </c>
    </row>
    <row r="154" spans="1:7">
      <c r="A154" s="29">
        <v>32</v>
      </c>
      <c r="B154" s="29">
        <v>162.4</v>
      </c>
      <c r="C154" s="29">
        <v>1</v>
      </c>
      <c r="F154" s="5" t="s">
        <v>19</v>
      </c>
      <c r="G154" t="s">
        <v>41</v>
      </c>
    </row>
    <row r="155" spans="1:7">
      <c r="A155" s="2"/>
      <c r="B155" s="2"/>
      <c r="C155" s="2"/>
      <c r="D155" s="2"/>
    </row>
    <row r="156" spans="1:7" ht="28">
      <c r="A156" s="11" t="s">
        <v>27</v>
      </c>
      <c r="B156" s="12" t="s">
        <v>28</v>
      </c>
      <c r="C156" s="12" t="str">
        <f>IF(OperationType&amp;CurveType="ChargingCubicLinear","Flow Rate","Fraction of Full Charge")</f>
        <v>Flow Rate</v>
      </c>
      <c r="D156" s="13" t="str">
        <f>IF(OperationType="Discharging","Discharging Rate","Charging Rate")</f>
        <v>Charging Rate</v>
      </c>
    </row>
    <row r="157" spans="1:7">
      <c r="A157" s="14" t="str">
        <f>IF(UnitsType="IP","oF","oC")</f>
        <v>oF</v>
      </c>
      <c r="B157" s="14" t="str">
        <f>IF(UnitsType="IP","oF","oC")</f>
        <v>oF</v>
      </c>
      <c r="C157" s="15" t="str">
        <f>IF(OperationType&amp;CurveType="ChargingCubicLinear","Flow Rate/100GPM","")</f>
        <v>Flow Rate/100GPM</v>
      </c>
      <c r="D157" s="16" t="str">
        <f>IF(UnitsType="IP","Tons","kW")</f>
        <v>Tons</v>
      </c>
      <c r="F157" s="33" t="s">
        <v>58</v>
      </c>
      <c r="G157" t="s">
        <v>4</v>
      </c>
    </row>
    <row r="158" spans="1:7">
      <c r="A158" s="51">
        <v>60</v>
      </c>
      <c r="B158" s="51">
        <v>50</v>
      </c>
      <c r="C158" s="52">
        <f>160/162</f>
        <v>0.98765432098765427</v>
      </c>
      <c r="D158" s="51">
        <v>80</v>
      </c>
      <c r="F158" s="33" t="s">
        <v>54</v>
      </c>
    </row>
    <row r="159" spans="1:7">
      <c r="A159" s="51">
        <v>60</v>
      </c>
      <c r="B159" s="51">
        <v>50</v>
      </c>
      <c r="C159" s="52">
        <f>140/162</f>
        <v>0.86419753086419748</v>
      </c>
      <c r="D159" s="51">
        <v>75</v>
      </c>
      <c r="F159" s="33" t="s">
        <v>40</v>
      </c>
      <c r="G159" t="s">
        <v>13</v>
      </c>
    </row>
    <row r="160" spans="1:7">
      <c r="A160" s="51">
        <v>60</v>
      </c>
      <c r="B160" s="51">
        <v>50</v>
      </c>
      <c r="C160" s="52">
        <f>120/162</f>
        <v>0.7407407407407407</v>
      </c>
      <c r="D160" s="51">
        <v>70</v>
      </c>
      <c r="F160" s="33">
        <v>-0.14064598389999999</v>
      </c>
      <c r="G160" t="s">
        <v>5</v>
      </c>
    </row>
    <row r="161" spans="1:7">
      <c r="A161" s="51">
        <v>60</v>
      </c>
      <c r="B161" s="51">
        <v>50</v>
      </c>
      <c r="C161" s="52">
        <f>60/162</f>
        <v>0.37037037037037035</v>
      </c>
      <c r="D161" s="51">
        <v>60</v>
      </c>
      <c r="F161" s="33">
        <v>0.94316228170000005</v>
      </c>
      <c r="G161" t="s">
        <v>6</v>
      </c>
    </row>
    <row r="162" spans="1:7">
      <c r="A162" s="51">
        <v>60</v>
      </c>
      <c r="B162" s="51">
        <v>50</v>
      </c>
      <c r="C162" s="52">
        <f>40/162</f>
        <v>0.24691358024691357</v>
      </c>
      <c r="D162" s="51">
        <v>20</v>
      </c>
      <c r="F162" s="33">
        <v>-1.2920769913000001</v>
      </c>
      <c r="G162" t="s">
        <v>7</v>
      </c>
    </row>
    <row r="163" spans="1:7">
      <c r="A163" s="51">
        <v>60</v>
      </c>
      <c r="B163" s="51">
        <v>46</v>
      </c>
      <c r="C163" s="52">
        <f>160/162</f>
        <v>0.98765432098765427</v>
      </c>
      <c r="D163" s="51">
        <v>55</v>
      </c>
      <c r="F163" s="33">
        <v>0.57735703240000003</v>
      </c>
      <c r="G163" t="s">
        <v>55</v>
      </c>
    </row>
    <row r="164" spans="1:7">
      <c r="A164" s="51">
        <v>60</v>
      </c>
      <c r="B164" s="51">
        <v>46</v>
      </c>
      <c r="C164" s="52">
        <f>120/162</f>
        <v>0.7407407407407407</v>
      </c>
      <c r="D164" s="51">
        <v>54</v>
      </c>
      <c r="F164" s="33">
        <v>-0.2489277191</v>
      </c>
      <c r="G164" t="s">
        <v>56</v>
      </c>
    </row>
    <row r="165" spans="1:7">
      <c r="A165" s="51">
        <v>60</v>
      </c>
      <c r="B165" s="51">
        <v>46</v>
      </c>
      <c r="C165" s="52">
        <f>80/162</f>
        <v>0.49382716049382713</v>
      </c>
      <c r="D165" s="51">
        <v>47</v>
      </c>
      <c r="F165" s="33">
        <v>0.47748470900000001</v>
      </c>
      <c r="G165" t="s">
        <v>57</v>
      </c>
    </row>
    <row r="166" spans="1:7">
      <c r="A166" s="51">
        <v>60</v>
      </c>
      <c r="B166" s="51">
        <v>46</v>
      </c>
      <c r="C166" s="52">
        <f>40/162</f>
        <v>0.24691358024691357</v>
      </c>
      <c r="D166" s="51">
        <v>29</v>
      </c>
      <c r="F166" s="33">
        <v>0.69</v>
      </c>
      <c r="G166" t="s">
        <v>8</v>
      </c>
    </row>
    <row r="167" spans="1:7">
      <c r="A167" s="51">
        <v>60</v>
      </c>
      <c r="B167" s="51">
        <v>42</v>
      </c>
      <c r="C167" s="52">
        <f>160/162</f>
        <v>0.98765432098765427</v>
      </c>
      <c r="D167" s="51">
        <v>43</v>
      </c>
      <c r="F167" s="33">
        <v>1.26</v>
      </c>
      <c r="G167" t="s">
        <v>9</v>
      </c>
    </row>
    <row r="168" spans="1:7">
      <c r="A168" s="51">
        <v>60</v>
      </c>
      <c r="B168" s="51">
        <v>42</v>
      </c>
      <c r="C168" s="52">
        <f>120/162</f>
        <v>0.7407407407407407</v>
      </c>
      <c r="D168" s="51">
        <v>42</v>
      </c>
      <c r="F168" s="33">
        <v>0.32</v>
      </c>
      <c r="G168" t="s">
        <v>17</v>
      </c>
    </row>
    <row r="169" spans="1:7">
      <c r="A169" s="51">
        <v>60</v>
      </c>
      <c r="B169" s="51">
        <v>42</v>
      </c>
      <c r="C169" s="52">
        <f>80/162</f>
        <v>0.49382716049382713</v>
      </c>
      <c r="D169" s="51">
        <v>34</v>
      </c>
      <c r="F169" s="33">
        <v>1.99</v>
      </c>
      <c r="G169" t="s">
        <v>18</v>
      </c>
    </row>
    <row r="170" spans="1:7">
      <c r="A170" s="51">
        <v>60</v>
      </c>
      <c r="B170" s="51">
        <v>42</v>
      </c>
      <c r="C170" s="52">
        <f>44/162</f>
        <v>0.27160493827160492</v>
      </c>
      <c r="D170" s="51">
        <v>22</v>
      </c>
      <c r="F170" s="33">
        <v>9.2399999999999996E-2</v>
      </c>
      <c r="G170" t="s">
        <v>10</v>
      </c>
    </row>
    <row r="171" spans="1:7">
      <c r="A171" s="51">
        <v>60</v>
      </c>
      <c r="B171" s="51">
        <v>40</v>
      </c>
      <c r="C171" s="52">
        <f>162/162</f>
        <v>1</v>
      </c>
      <c r="D171" s="51">
        <v>40</v>
      </c>
      <c r="F171" s="33">
        <v>0.49259999999999998</v>
      </c>
      <c r="G171" t="s">
        <v>11</v>
      </c>
    </row>
    <row r="172" spans="1:7">
      <c r="A172" s="51">
        <v>60</v>
      </c>
      <c r="B172" s="51">
        <v>40</v>
      </c>
      <c r="C172" s="52">
        <f>120/162</f>
        <v>0.7407407407407407</v>
      </c>
      <c r="D172" s="51">
        <v>37</v>
      </c>
      <c r="F172" s="33" t="s">
        <v>50</v>
      </c>
      <c r="G172" t="s">
        <v>51</v>
      </c>
    </row>
    <row r="173" spans="1:7">
      <c r="A173" s="51">
        <v>60</v>
      </c>
      <c r="B173" s="51">
        <v>40</v>
      </c>
      <c r="C173" s="52">
        <f>80/162</f>
        <v>0.49382716049382713</v>
      </c>
      <c r="D173" s="51">
        <v>28</v>
      </c>
      <c r="F173" s="33" t="s">
        <v>50</v>
      </c>
      <c r="G173" t="s">
        <v>52</v>
      </c>
    </row>
    <row r="174" spans="1:7">
      <c r="A174" s="51">
        <v>60</v>
      </c>
      <c r="B174" s="51">
        <v>40</v>
      </c>
      <c r="C174" s="52">
        <f>52/162</f>
        <v>0.32098765432098764</v>
      </c>
      <c r="D174" s="51">
        <v>22</v>
      </c>
      <c r="F174" s="33" t="s">
        <v>50</v>
      </c>
      <c r="G174" t="s">
        <v>53</v>
      </c>
    </row>
    <row r="175" spans="1:7">
      <c r="A175" s="51">
        <v>60</v>
      </c>
      <c r="B175" s="51">
        <v>36</v>
      </c>
      <c r="C175" s="52">
        <f>160/162</f>
        <v>0.98765432098765427</v>
      </c>
      <c r="D175" s="51">
        <v>29</v>
      </c>
    </row>
    <row r="176" spans="1:7">
      <c r="A176" s="51">
        <v>60</v>
      </c>
      <c r="B176" s="51">
        <v>36</v>
      </c>
      <c r="C176" s="52">
        <f>120/162</f>
        <v>0.7407407407407407</v>
      </c>
      <c r="D176" s="51">
        <v>25</v>
      </c>
    </row>
    <row r="177" spans="1:7">
      <c r="A177" s="51">
        <v>60</v>
      </c>
      <c r="B177" s="51">
        <v>36</v>
      </c>
      <c r="C177" s="52">
        <f>100/162</f>
        <v>0.61728395061728392</v>
      </c>
      <c r="D177" s="51">
        <v>22</v>
      </c>
    </row>
    <row r="178" spans="1:7">
      <c r="A178" s="51">
        <v>60</v>
      </c>
      <c r="B178" s="51">
        <v>36</v>
      </c>
      <c r="C178" s="52">
        <f>80/162</f>
        <v>0.49382716049382713</v>
      </c>
      <c r="D178" s="51">
        <v>15</v>
      </c>
    </row>
    <row r="181" spans="1:7" ht="15">
      <c r="A181" s="50" t="s">
        <v>63</v>
      </c>
      <c r="F181" s="50" t="s">
        <v>64</v>
      </c>
    </row>
    <row r="183" spans="1:7">
      <c r="A183" s="46" t="s">
        <v>21</v>
      </c>
      <c r="B183" s="47" t="s">
        <v>22</v>
      </c>
      <c r="C183" s="48" t="s">
        <v>24</v>
      </c>
    </row>
    <row r="184" spans="1:7">
      <c r="A184" s="43" t="str">
        <f>IF(UnitsType="IP", "oF","oC")</f>
        <v>oF</v>
      </c>
      <c r="B184" s="44" t="str">
        <f>IF(UnitsType="IP","Ton-Hours","kW-Hours")</f>
        <v>Ton-Hours</v>
      </c>
      <c r="C184" s="45" t="s">
        <v>25</v>
      </c>
      <c r="F184" s="3" t="s">
        <v>14</v>
      </c>
      <c r="G184" t="s">
        <v>32</v>
      </c>
    </row>
    <row r="185" spans="1:7">
      <c r="A185" s="29">
        <v>32</v>
      </c>
      <c r="B185" s="29">
        <v>162.4</v>
      </c>
      <c r="C185" s="29">
        <v>1</v>
      </c>
      <c r="F185" s="5" t="s">
        <v>19</v>
      </c>
      <c r="G185" t="s">
        <v>41</v>
      </c>
    </row>
    <row r="186" spans="1:7">
      <c r="A186" s="2"/>
      <c r="B186" s="2"/>
      <c r="C186" s="2"/>
      <c r="D186" s="2"/>
    </row>
    <row r="187" spans="1:7" ht="28">
      <c r="A187" s="11" t="s">
        <v>27</v>
      </c>
      <c r="B187" s="12" t="s">
        <v>28</v>
      </c>
      <c r="C187" s="12" t="str">
        <f>IF(OperationType&amp;CurveType="ChargingCubicLinear","Flow Rate","Fraction of Full Charge")</f>
        <v>Flow Rate</v>
      </c>
      <c r="D187" s="13" t="str">
        <f>IF(OperationType="Discharging","Discharging Rate","Charging Rate")</f>
        <v>Charging Rate</v>
      </c>
    </row>
    <row r="188" spans="1:7" ht="28">
      <c r="A188" s="14" t="str">
        <f>IF(UnitsType="IP","oF","oC")</f>
        <v>oF</v>
      </c>
      <c r="B188" s="14" t="str">
        <f>IF(UnitsType="IP","oF","oC")</f>
        <v>oF</v>
      </c>
      <c r="C188" s="15" t="str">
        <f>IF(OperationType&amp;CurveType="ChargingCubicLinear","Flow Rate/100GPM or Flow/6.31lps","")</f>
        <v>Flow Rate/100GPM or Flow/6.31lps</v>
      </c>
      <c r="D188" s="16" t="str">
        <f>IF(UnitsType="IP","Tons","kW")</f>
        <v>Tons</v>
      </c>
      <c r="F188" s="33" t="s">
        <v>60</v>
      </c>
      <c r="G188" t="s">
        <v>4</v>
      </c>
    </row>
    <row r="189" spans="1:7">
      <c r="A189">
        <v>28.6</v>
      </c>
      <c r="B189">
        <v>31.6</v>
      </c>
      <c r="C189">
        <v>0.4</v>
      </c>
      <c r="D189">
        <v>5</v>
      </c>
      <c r="F189" s="33" t="s">
        <v>54</v>
      </c>
    </row>
    <row r="190" spans="1:7">
      <c r="A190">
        <v>28.25</v>
      </c>
      <c r="B190">
        <v>31.25</v>
      </c>
      <c r="C190">
        <v>0.6</v>
      </c>
      <c r="D190">
        <v>7</v>
      </c>
      <c r="F190" s="33" t="s">
        <v>34</v>
      </c>
      <c r="G190" t="s">
        <v>13</v>
      </c>
    </row>
    <row r="191" spans="1:7">
      <c r="A191">
        <v>27.75</v>
      </c>
      <c r="B191">
        <v>30.75</v>
      </c>
      <c r="C191">
        <v>0.8</v>
      </c>
      <c r="D191">
        <v>9</v>
      </c>
      <c r="F191" s="33">
        <v>-2.2490303000000001E-3</v>
      </c>
      <c r="G191" t="s">
        <v>5</v>
      </c>
    </row>
    <row r="192" spans="1:7">
      <c r="A192">
        <v>27.3</v>
      </c>
      <c r="B192">
        <v>30.2</v>
      </c>
      <c r="C192">
        <v>1</v>
      </c>
      <c r="D192">
        <v>11</v>
      </c>
      <c r="F192" s="33">
        <v>-0.42333722140000002</v>
      </c>
      <c r="G192" t="s">
        <v>6</v>
      </c>
    </row>
    <row r="193" spans="1:7">
      <c r="A193">
        <v>26.4</v>
      </c>
      <c r="B193">
        <v>31.4</v>
      </c>
      <c r="C193">
        <v>0.4</v>
      </c>
      <c r="D193">
        <v>8</v>
      </c>
      <c r="F193" s="33">
        <v>-0.12369582060000001</v>
      </c>
      <c r="G193" t="s">
        <v>7</v>
      </c>
    </row>
    <row r="194" spans="1:7">
      <c r="A194">
        <v>25.6</v>
      </c>
      <c r="B194">
        <v>30.6</v>
      </c>
      <c r="C194">
        <v>0.6</v>
      </c>
      <c r="D194">
        <v>12</v>
      </c>
      <c r="F194" s="33">
        <v>-0.23454930099999999</v>
      </c>
      <c r="G194" t="s">
        <v>55</v>
      </c>
    </row>
    <row r="195" spans="1:7">
      <c r="A195">
        <v>24.7</v>
      </c>
      <c r="B195">
        <v>29.7</v>
      </c>
      <c r="C195">
        <v>0.8</v>
      </c>
      <c r="D195">
        <v>16</v>
      </c>
      <c r="F195" s="33">
        <v>2.4162940999999999E-3</v>
      </c>
      <c r="G195" t="s">
        <v>56</v>
      </c>
    </row>
    <row r="196" spans="1:7">
      <c r="A196">
        <v>23.8</v>
      </c>
      <c r="B196">
        <v>28.8</v>
      </c>
      <c r="C196">
        <v>1</v>
      </c>
      <c r="D196">
        <v>19.5</v>
      </c>
      <c r="F196" s="33">
        <v>8.4981379999999999E-4</v>
      </c>
      <c r="G196" t="s">
        <v>57</v>
      </c>
    </row>
    <row r="197" spans="1:7">
      <c r="A197">
        <v>24.2</v>
      </c>
      <c r="B197">
        <v>31.2</v>
      </c>
      <c r="C197">
        <v>0.4</v>
      </c>
      <c r="D197">
        <v>11</v>
      </c>
      <c r="F197" s="33">
        <v>-0.42</v>
      </c>
      <c r="G197" t="s">
        <v>8</v>
      </c>
    </row>
    <row r="198" spans="1:7">
      <c r="A198">
        <v>23.1</v>
      </c>
      <c r="B198">
        <v>30.1</v>
      </c>
      <c r="C198">
        <v>0.6</v>
      </c>
      <c r="D198">
        <v>16.5</v>
      </c>
      <c r="F198" s="33">
        <v>0</v>
      </c>
      <c r="G198" t="s">
        <v>9</v>
      </c>
    </row>
    <row r="199" spans="1:7">
      <c r="A199">
        <v>21.9</v>
      </c>
      <c r="B199">
        <v>28.9</v>
      </c>
      <c r="C199">
        <v>0.8</v>
      </c>
      <c r="D199">
        <v>22</v>
      </c>
      <c r="F199" s="33">
        <v>-0.08</v>
      </c>
      <c r="G199" t="s">
        <v>17</v>
      </c>
    </row>
    <row r="200" spans="1:7">
      <c r="A200">
        <v>20.399999999999999</v>
      </c>
      <c r="B200">
        <v>27.4</v>
      </c>
      <c r="C200">
        <v>1</v>
      </c>
      <c r="D200">
        <v>28</v>
      </c>
      <c r="F200" s="33">
        <v>0</v>
      </c>
      <c r="G200" t="s">
        <v>18</v>
      </c>
    </row>
    <row r="201" spans="1:7">
      <c r="A201">
        <v>22</v>
      </c>
      <c r="B201">
        <v>31</v>
      </c>
      <c r="C201">
        <v>0.4</v>
      </c>
      <c r="D201">
        <v>14.5</v>
      </c>
      <c r="F201" s="33">
        <v>3.0800000000000001E-2</v>
      </c>
      <c r="G201" t="s">
        <v>10</v>
      </c>
    </row>
    <row r="202" spans="1:7">
      <c r="A202">
        <v>20.6</v>
      </c>
      <c r="B202">
        <v>29.6</v>
      </c>
      <c r="C202">
        <v>0.6</v>
      </c>
      <c r="D202">
        <v>20.5</v>
      </c>
      <c r="F202" s="33">
        <v>0.17549999999999999</v>
      </c>
      <c r="G202" t="s">
        <v>11</v>
      </c>
    </row>
    <row r="203" spans="1:7">
      <c r="A203">
        <v>19</v>
      </c>
      <c r="B203">
        <v>28</v>
      </c>
      <c r="C203">
        <v>0.8</v>
      </c>
      <c r="D203">
        <v>28.5</v>
      </c>
      <c r="F203" s="33" t="s">
        <v>50</v>
      </c>
      <c r="G203" t="s">
        <v>51</v>
      </c>
    </row>
    <row r="204" spans="1:7">
      <c r="A204">
        <v>20.9</v>
      </c>
      <c r="B204">
        <v>30.9</v>
      </c>
      <c r="C204">
        <v>0.4</v>
      </c>
      <c r="D204">
        <v>15.5</v>
      </c>
      <c r="F204" s="33" t="s">
        <v>50</v>
      </c>
      <c r="G204" t="s">
        <v>52</v>
      </c>
    </row>
    <row r="205" spans="1:7">
      <c r="A205">
        <v>19.600000000000001</v>
      </c>
      <c r="B205">
        <v>29.6</v>
      </c>
      <c r="C205">
        <v>0.6</v>
      </c>
      <c r="D205">
        <v>22.5</v>
      </c>
      <c r="F205" s="33" t="s">
        <v>50</v>
      </c>
      <c r="G205" t="s">
        <v>53</v>
      </c>
    </row>
  </sheetData>
  <pageMargins left="0.7" right="0.7" top="0.75" bottom="0.75" header="0.3" footer="0.3"/>
  <pageSetup orientation="portrait"/>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3:N88"/>
  <sheetViews>
    <sheetView zoomScale="85" zoomScaleNormal="85" zoomScalePageLayoutView="85" workbookViewId="0"/>
  </sheetViews>
  <sheetFormatPr baseColWidth="10" defaultColWidth="8.83203125" defaultRowHeight="14" x14ac:dyDescent="0"/>
  <cols>
    <col min="1" max="1" width="26.1640625" style="2" customWidth="1"/>
    <col min="2" max="2" width="22.5" style="2" customWidth="1"/>
    <col min="3" max="3" width="22.1640625" style="2" customWidth="1"/>
    <col min="4" max="4" width="20.33203125" style="2" customWidth="1"/>
    <col min="5" max="5" width="21.83203125" style="2" customWidth="1"/>
    <col min="6" max="6" width="17.83203125" style="2" customWidth="1"/>
    <col min="7" max="12" width="18.33203125" style="2" customWidth="1"/>
    <col min="13" max="13" width="18.33203125" customWidth="1"/>
    <col min="14" max="14" width="37.1640625" bestFit="1" customWidth="1"/>
    <col min="15" max="16384" width="8.83203125" style="2"/>
  </cols>
  <sheetData>
    <row r="3" spans="1:14" ht="15">
      <c r="A3" s="1" t="s">
        <v>20</v>
      </c>
      <c r="B3" s="42" t="s">
        <v>59</v>
      </c>
      <c r="J3" s="31"/>
      <c r="K3" s="30"/>
      <c r="L3" s="30"/>
      <c r="M3" s="2"/>
      <c r="N3" s="2"/>
    </row>
    <row r="4" spans="1:14" ht="15">
      <c r="A4" s="3" t="s">
        <v>0</v>
      </c>
      <c r="B4" s="4" t="s">
        <v>44</v>
      </c>
      <c r="H4" s="19"/>
      <c r="J4" s="31"/>
      <c r="K4" s="30"/>
      <c r="L4" s="30"/>
      <c r="M4" s="2"/>
      <c r="N4" s="2"/>
    </row>
    <row r="5" spans="1:14" ht="15">
      <c r="A5" s="5" t="s">
        <v>1</v>
      </c>
      <c r="B5" s="6" t="s">
        <v>2</v>
      </c>
      <c r="C5" s="7"/>
      <c r="D5" s="7"/>
      <c r="E5" s="7"/>
      <c r="J5" s="31"/>
      <c r="K5" s="30"/>
      <c r="L5" s="30"/>
      <c r="M5" s="2"/>
      <c r="N5" s="2"/>
    </row>
    <row r="6" spans="1:14" ht="15">
      <c r="A6" s="35"/>
      <c r="B6" s="36"/>
      <c r="C6" s="7"/>
      <c r="D6" s="7"/>
      <c r="E6" s="7"/>
      <c r="J6" s="31"/>
      <c r="K6" s="30"/>
      <c r="L6" s="30"/>
      <c r="M6" s="2"/>
      <c r="N6" s="2"/>
    </row>
    <row r="7" spans="1:14" ht="18" customHeight="1">
      <c r="A7" s="3" t="s">
        <v>12</v>
      </c>
      <c r="B7" s="39" t="s">
        <v>30</v>
      </c>
      <c r="C7" s="7"/>
      <c r="D7" s="7"/>
      <c r="E7" s="7"/>
      <c r="M7" s="2"/>
      <c r="N7" s="2"/>
    </row>
    <row r="8" spans="1:14">
      <c r="A8" s="8"/>
      <c r="B8" s="9"/>
      <c r="C8" s="7"/>
      <c r="D8" s="7"/>
      <c r="E8" s="7"/>
      <c r="M8" s="2"/>
      <c r="N8" s="2"/>
    </row>
    <row r="9" spans="1:14" ht="23" customHeight="1">
      <c r="A9" s="10" t="s">
        <v>29</v>
      </c>
      <c r="B9" s="46" t="s">
        <v>21</v>
      </c>
      <c r="C9" s="47" t="s">
        <v>22</v>
      </c>
      <c r="D9" s="48" t="s">
        <v>24</v>
      </c>
      <c r="E9"/>
      <c r="M9" s="2"/>
      <c r="N9" s="2"/>
    </row>
    <row r="10" spans="1:14" ht="26" customHeight="1">
      <c r="A10" s="10"/>
      <c r="B10" s="43" t="str">
        <f>IF(UnitsType="IP", "oF","oC")</f>
        <v>oF</v>
      </c>
      <c r="C10" s="44" t="str">
        <f>IF(UnitsType="IP","Ton-Hours","kW-Hours")</f>
        <v>Ton-Hours</v>
      </c>
      <c r="D10" s="45" t="s">
        <v>25</v>
      </c>
      <c r="E10"/>
      <c r="M10" s="2"/>
      <c r="N10" s="2"/>
    </row>
    <row r="11" spans="1:14">
      <c r="B11" s="29">
        <v>32</v>
      </c>
      <c r="C11" s="29">
        <v>162.4</v>
      </c>
      <c r="D11" s="29">
        <v>1</v>
      </c>
      <c r="E11"/>
      <c r="F11" s="20"/>
      <c r="I11" s="7"/>
      <c r="J11" s="7"/>
      <c r="M11" s="2"/>
      <c r="N11" s="2"/>
    </row>
    <row r="12" spans="1:14">
      <c r="F12" s="21"/>
      <c r="G12" s="21"/>
      <c r="I12" s="7"/>
      <c r="J12" s="7"/>
      <c r="M12" s="2"/>
      <c r="N12" s="2"/>
    </row>
    <row r="13" spans="1:14" ht="35.25" customHeight="1">
      <c r="A13" s="10" t="s">
        <v>3</v>
      </c>
      <c r="B13" s="11" t="s">
        <v>27</v>
      </c>
      <c r="C13" s="12" t="s">
        <v>28</v>
      </c>
      <c r="D13" s="12" t="str">
        <f>IF(OperationType&amp;CurveType="ChargingCubicLinear","Flow Rate","Fraction of Full Charge")</f>
        <v>Flow Rate</v>
      </c>
      <c r="E13" s="13" t="str">
        <f>IF(OperationType="Discharging","Discharging Rate","Charging Rate")</f>
        <v>Charging Rate</v>
      </c>
      <c r="F13" s="13" t="str">
        <f>IF(OperationType="Discharging","Calculated Discharging Rate","Calculated Charging Rate")</f>
        <v>Calculated Charging Rate</v>
      </c>
      <c r="M13" s="2"/>
      <c r="N13" s="2"/>
    </row>
    <row r="14" spans="1:14" ht="28" customHeight="1">
      <c r="B14" s="14" t="str">
        <f>IF(UnitsType="IP","oF","oC")</f>
        <v>oF</v>
      </c>
      <c r="C14" s="14" t="str">
        <f>IF(UnitsType="IP","oF","oC")</f>
        <v>oF</v>
      </c>
      <c r="D14" s="15" t="str">
        <f>IF(OperationType&amp;CurveType="ChargingCubicLinear","Flow Rate/100GPM or Flow/6.31lps","")</f>
        <v>Flow Rate/100GPM or Flow/6.31lps</v>
      </c>
      <c r="E14" s="16" t="str">
        <f>IF(UnitsType="IP","Tons","kW")</f>
        <v>Tons</v>
      </c>
      <c r="F14" s="16" t="str">
        <f>IF(UnitsType="IP","Tons","kW")</f>
        <v>Tons</v>
      </c>
      <c r="I14" s="8"/>
      <c r="M14" s="2"/>
      <c r="N14" s="2"/>
    </row>
    <row r="15" spans="1:14">
      <c r="B15">
        <v>28.6</v>
      </c>
      <c r="C15">
        <v>31.6</v>
      </c>
      <c r="D15">
        <v>0.4</v>
      </c>
      <c r="E15">
        <v>5</v>
      </c>
      <c r="F15">
        <v>5.0377676280721309</v>
      </c>
      <c r="G15" s="22"/>
      <c r="I15" s="22"/>
      <c r="J15" s="22"/>
      <c r="M15" s="2"/>
      <c r="N15" s="2"/>
    </row>
    <row r="16" spans="1:14">
      <c r="B16">
        <v>28.25</v>
      </c>
      <c r="C16">
        <v>31.25</v>
      </c>
      <c r="D16">
        <v>0.6</v>
      </c>
      <c r="E16">
        <v>7</v>
      </c>
      <c r="F16">
        <v>6.8079635971357115</v>
      </c>
      <c r="G16" s="22"/>
      <c r="I16" s="22"/>
      <c r="J16" s="22"/>
      <c r="M16" s="2"/>
      <c r="N16" s="2"/>
    </row>
    <row r="17" spans="2:14">
      <c r="B17">
        <v>27.75</v>
      </c>
      <c r="C17">
        <v>30.75</v>
      </c>
      <c r="D17">
        <v>0.8</v>
      </c>
      <c r="E17">
        <v>9</v>
      </c>
      <c r="F17">
        <v>9.0203681497354289</v>
      </c>
      <c r="G17" s="22"/>
      <c r="I17" s="22"/>
      <c r="J17" s="22"/>
      <c r="M17" s="2"/>
      <c r="N17" s="2"/>
    </row>
    <row r="18" spans="2:14">
      <c r="B18">
        <v>27.3</v>
      </c>
      <c r="C18">
        <v>30.2</v>
      </c>
      <c r="D18">
        <v>1</v>
      </c>
      <c r="E18">
        <v>11</v>
      </c>
      <c r="F18">
        <v>11.158715804099543</v>
      </c>
      <c r="G18" s="22"/>
      <c r="I18" s="22"/>
      <c r="J18" s="22"/>
      <c r="M18" s="2"/>
      <c r="N18" s="2"/>
    </row>
    <row r="19" spans="2:14">
      <c r="B19">
        <v>26.4</v>
      </c>
      <c r="C19">
        <v>31.4</v>
      </c>
      <c r="D19">
        <v>0.4</v>
      </c>
      <c r="E19">
        <v>8</v>
      </c>
      <c r="F19">
        <v>8.0974291437803192</v>
      </c>
      <c r="G19" s="22"/>
      <c r="I19" s="22"/>
      <c r="J19" s="22"/>
      <c r="M19" s="2"/>
      <c r="N19" s="2"/>
    </row>
    <row r="20" spans="2:14">
      <c r="B20">
        <v>25.6</v>
      </c>
      <c r="C20">
        <v>30.6</v>
      </c>
      <c r="D20">
        <v>0.6</v>
      </c>
      <c r="E20">
        <v>12</v>
      </c>
      <c r="F20">
        <v>11.981980709103198</v>
      </c>
      <c r="G20" s="22"/>
      <c r="I20" s="22"/>
      <c r="J20" s="22"/>
      <c r="L20" s="24"/>
      <c r="M20" s="2"/>
      <c r="N20" s="2"/>
    </row>
    <row r="21" spans="2:14">
      <c r="B21">
        <v>24.7</v>
      </c>
      <c r="C21">
        <v>29.7</v>
      </c>
      <c r="D21">
        <v>0.8</v>
      </c>
      <c r="E21">
        <v>16</v>
      </c>
      <c r="F21">
        <v>15.824945187514935</v>
      </c>
      <c r="G21" s="25"/>
      <c r="I21" s="25"/>
      <c r="J21" s="25"/>
      <c r="L21" s="24"/>
      <c r="M21" s="2"/>
      <c r="N21" s="2"/>
    </row>
    <row r="22" spans="2:14">
      <c r="B22">
        <v>23.8</v>
      </c>
      <c r="C22">
        <v>28.8</v>
      </c>
      <c r="D22">
        <v>1</v>
      </c>
      <c r="E22">
        <v>19.5</v>
      </c>
      <c r="F22">
        <v>19.510701719853394</v>
      </c>
      <c r="G22" s="26"/>
      <c r="I22" s="26"/>
      <c r="J22" s="26"/>
      <c r="L22" s="8"/>
      <c r="M22" s="2"/>
      <c r="N22" s="2"/>
    </row>
    <row r="23" spans="2:14">
      <c r="B23">
        <v>24.2</v>
      </c>
      <c r="C23">
        <v>31.2</v>
      </c>
      <c r="D23">
        <v>0.4</v>
      </c>
      <c r="E23">
        <v>11</v>
      </c>
      <c r="F23">
        <v>11.126597509844972</v>
      </c>
      <c r="G23" s="26"/>
      <c r="I23" s="26"/>
      <c r="J23" s="26"/>
      <c r="L23" s="8"/>
      <c r="M23" s="2"/>
      <c r="N23" s="2"/>
    </row>
    <row r="24" spans="2:14">
      <c r="B24">
        <v>23.1</v>
      </c>
      <c r="C24">
        <v>30.1</v>
      </c>
      <c r="D24">
        <v>0.6</v>
      </c>
      <c r="E24">
        <v>16.5</v>
      </c>
      <c r="F24">
        <v>16.497607948435334</v>
      </c>
      <c r="G24" s="26"/>
      <c r="I24" s="26"/>
      <c r="J24" s="26"/>
      <c r="L24" s="9"/>
      <c r="M24" s="2"/>
      <c r="N24" s="2"/>
    </row>
    <row r="25" spans="2:14">
      <c r="B25">
        <v>21.9</v>
      </c>
      <c r="C25">
        <v>28.9</v>
      </c>
      <c r="D25">
        <v>0.8</v>
      </c>
      <c r="E25">
        <v>22</v>
      </c>
      <c r="F25">
        <v>21.730183894089592</v>
      </c>
      <c r="L25" s="9"/>
      <c r="M25" s="2"/>
      <c r="N25" s="2"/>
    </row>
    <row r="26" spans="2:14">
      <c r="B26">
        <v>20.399999999999999</v>
      </c>
      <c r="C26">
        <v>27.4</v>
      </c>
      <c r="D26">
        <v>1</v>
      </c>
      <c r="E26">
        <v>28</v>
      </c>
      <c r="F26">
        <v>28.154602885852732</v>
      </c>
      <c r="L26" s="9"/>
      <c r="M26" s="2"/>
      <c r="N26" s="2"/>
    </row>
    <row r="27" spans="2:14">
      <c r="B27">
        <v>22</v>
      </c>
      <c r="C27">
        <v>31</v>
      </c>
      <c r="D27">
        <v>0.4</v>
      </c>
      <c r="E27">
        <v>14.5</v>
      </c>
      <c r="F27">
        <v>14.151396918483488</v>
      </c>
      <c r="G27" s="8"/>
      <c r="I27" s="23"/>
      <c r="J27" s="8"/>
      <c r="L27" s="21"/>
      <c r="M27" s="2"/>
      <c r="N27" s="2"/>
    </row>
    <row r="28" spans="2:14">
      <c r="B28">
        <v>20.6</v>
      </c>
      <c r="C28">
        <v>29.6</v>
      </c>
      <c r="D28">
        <v>0.6</v>
      </c>
      <c r="E28">
        <v>20.5</v>
      </c>
      <c r="F28">
        <v>21.095220988817939</v>
      </c>
      <c r="G28" s="8"/>
      <c r="I28" s="23"/>
      <c r="J28" s="8"/>
      <c r="L28" s="21"/>
      <c r="M28" s="2"/>
      <c r="N28" s="2"/>
    </row>
    <row r="29" spans="2:14">
      <c r="B29">
        <v>19</v>
      </c>
      <c r="C29">
        <v>28</v>
      </c>
      <c r="D29">
        <v>0.8</v>
      </c>
      <c r="E29">
        <v>28.5</v>
      </c>
      <c r="F29">
        <v>28.359272314048408</v>
      </c>
      <c r="G29" s="8"/>
      <c r="I29" s="23"/>
      <c r="J29" s="8"/>
      <c r="L29" s="21"/>
      <c r="M29" s="2"/>
      <c r="N29" s="2"/>
    </row>
    <row r="30" spans="2:14">
      <c r="B30">
        <v>20.9</v>
      </c>
      <c r="C30">
        <v>30.9</v>
      </c>
      <c r="D30">
        <v>0.4</v>
      </c>
      <c r="E30">
        <v>15.5</v>
      </c>
      <c r="F30">
        <v>15.669619115577559</v>
      </c>
      <c r="I30" s="23"/>
      <c r="L30" s="21"/>
      <c r="M30" s="2"/>
      <c r="N30" s="2"/>
    </row>
    <row r="31" spans="2:14">
      <c r="B31">
        <v>19.600000000000001</v>
      </c>
      <c r="C31">
        <v>29.6</v>
      </c>
      <c r="D31">
        <v>0.6</v>
      </c>
      <c r="E31">
        <v>22.5</v>
      </c>
      <c r="F31">
        <v>22.275626581753269</v>
      </c>
      <c r="I31" s="23"/>
      <c r="L31" s="21"/>
      <c r="M31" s="2"/>
      <c r="N31" s="2"/>
    </row>
    <row r="32" spans="2:14">
      <c r="B32" s="51"/>
      <c r="C32" s="51"/>
      <c r="D32" s="52"/>
      <c r="E32" s="51"/>
      <c r="F32"/>
      <c r="G32" s="20"/>
      <c r="I32" s="23"/>
      <c r="L32" s="21"/>
      <c r="M32" s="2"/>
      <c r="N32" s="2"/>
    </row>
    <row r="33" spans="1:14">
      <c r="B33" s="51"/>
      <c r="C33" s="51"/>
      <c r="D33" s="52"/>
      <c r="E33" s="51"/>
      <c r="F33"/>
      <c r="I33" s="23"/>
      <c r="L33" s="21"/>
      <c r="M33" s="2"/>
      <c r="N33" s="2"/>
    </row>
    <row r="34" spans="1:14">
      <c r="B34" s="51"/>
      <c r="C34" s="51"/>
      <c r="D34" s="52"/>
      <c r="E34" s="51"/>
      <c r="F34"/>
      <c r="G34" s="22"/>
      <c r="I34" s="22"/>
      <c r="J34" s="22"/>
      <c r="L34" s="21"/>
      <c r="M34" s="2"/>
      <c r="N34" s="2"/>
    </row>
    <row r="35" spans="1:14">
      <c r="B35" s="51"/>
      <c r="C35" s="51"/>
      <c r="D35" s="52"/>
      <c r="E35" s="51"/>
      <c r="F35"/>
      <c r="G35" s="22"/>
      <c r="I35" s="22"/>
      <c r="J35" s="22"/>
      <c r="L35" s="9"/>
      <c r="M35" s="2"/>
      <c r="N35" s="2"/>
    </row>
    <row r="36" spans="1:14" ht="15">
      <c r="B36" s="49"/>
      <c r="C36" s="49"/>
      <c r="D36" s="49"/>
      <c r="E36"/>
      <c r="F36"/>
      <c r="G36" s="22"/>
      <c r="I36" s="22"/>
      <c r="J36" s="22"/>
      <c r="L36" s="9"/>
      <c r="M36" s="2"/>
      <c r="N36" s="2"/>
    </row>
    <row r="37" spans="1:14" ht="15">
      <c r="A37" s="8"/>
      <c r="B37" s="49"/>
      <c r="C37" s="49"/>
      <c r="D37" s="49"/>
      <c r="E37"/>
      <c r="F37"/>
      <c r="G37" s="22"/>
      <c r="I37" s="22"/>
      <c r="J37" s="22"/>
      <c r="L37" s="9"/>
      <c r="M37" s="2"/>
      <c r="N37" s="2"/>
    </row>
    <row r="38" spans="1:14" ht="15">
      <c r="A38" s="27"/>
      <c r="B38" s="49"/>
      <c r="C38" s="49"/>
      <c r="D38" s="49"/>
      <c r="E38"/>
      <c r="F38"/>
      <c r="G38" s="22"/>
      <c r="I38" s="22"/>
      <c r="J38" s="22"/>
      <c r="L38" s="9"/>
      <c r="M38" s="2"/>
      <c r="N38" s="2"/>
    </row>
    <row r="39" spans="1:14">
      <c r="A39" s="8"/>
      <c r="B39" s="9"/>
      <c r="C39" s="9"/>
      <c r="D39" s="9"/>
      <c r="E39" s="9"/>
      <c r="F39" s="17"/>
      <c r="G39" s="22"/>
      <c r="I39" s="22"/>
      <c r="J39" s="22"/>
      <c r="L39" s="9"/>
      <c r="M39" s="2"/>
      <c r="N39" s="2"/>
    </row>
    <row r="40" spans="1:14">
      <c r="A40" s="8"/>
      <c r="B40" s="9"/>
      <c r="C40" s="9"/>
      <c r="D40" s="9"/>
      <c r="E40" s="9"/>
      <c r="F40" s="17"/>
      <c r="G40" s="25"/>
      <c r="I40" s="25"/>
      <c r="J40" s="25"/>
      <c r="L40" s="9"/>
      <c r="M40" s="2"/>
      <c r="N40" s="2"/>
    </row>
    <row r="41" spans="1:14">
      <c r="A41" s="8"/>
      <c r="B41" s="9"/>
      <c r="C41" s="9"/>
      <c r="D41" s="9"/>
      <c r="E41" s="9"/>
      <c r="F41" s="17"/>
      <c r="G41" s="26"/>
      <c r="I41" s="26"/>
      <c r="J41" s="26"/>
      <c r="L41" s="9"/>
      <c r="M41" s="2"/>
      <c r="N41" s="2"/>
    </row>
    <row r="42" spans="1:14">
      <c r="A42" s="8"/>
      <c r="B42" s="9"/>
      <c r="C42" s="9"/>
      <c r="D42" s="9"/>
      <c r="E42" s="9"/>
      <c r="F42" s="17"/>
      <c r="G42" s="26"/>
      <c r="I42" s="26"/>
      <c r="J42" s="26"/>
      <c r="L42" s="9"/>
      <c r="M42" s="2"/>
      <c r="N42" s="2"/>
    </row>
    <row r="43" spans="1:14">
      <c r="A43" s="8"/>
      <c r="B43" s="21"/>
      <c r="C43" s="18"/>
      <c r="D43" s="21"/>
      <c r="E43" s="21"/>
      <c r="F43" s="17"/>
      <c r="G43" s="26"/>
      <c r="I43" s="26"/>
      <c r="J43" s="26"/>
      <c r="K43" s="21"/>
      <c r="L43" s="21"/>
      <c r="M43" s="2"/>
      <c r="N43" s="2"/>
    </row>
    <row r="44" spans="1:14">
      <c r="A44" s="8"/>
      <c r="B44" s="9"/>
      <c r="C44" s="9"/>
      <c r="D44" s="9"/>
      <c r="E44" s="9"/>
      <c r="F44" s="17"/>
      <c r="J44" s="32"/>
      <c r="K44" s="9"/>
      <c r="L44" s="9"/>
      <c r="M44" s="2"/>
      <c r="N44" s="2"/>
    </row>
    <row r="45" spans="1:14">
      <c r="A45" s="8"/>
      <c r="B45" s="9"/>
      <c r="C45" s="9"/>
      <c r="D45" s="9"/>
      <c r="E45" s="9"/>
      <c r="F45" s="17"/>
      <c r="M45" s="2"/>
      <c r="N45" s="2"/>
    </row>
    <row r="46" spans="1:14">
      <c r="A46" s="8"/>
      <c r="B46" s="21"/>
      <c r="C46" s="18"/>
      <c r="D46" s="21"/>
      <c r="E46" s="21"/>
      <c r="G46" s="8"/>
      <c r="I46" s="8"/>
      <c r="M46" s="2"/>
      <c r="N46" s="2"/>
    </row>
    <row r="47" spans="1:14">
      <c r="A47" s="8"/>
      <c r="B47" s="9"/>
      <c r="C47" s="9"/>
      <c r="D47" s="9"/>
      <c r="E47" s="9"/>
      <c r="G47" s="8"/>
      <c r="I47" s="8"/>
      <c r="M47" s="2"/>
      <c r="N47" s="2"/>
    </row>
    <row r="48" spans="1:14">
      <c r="A48" s="8"/>
      <c r="B48" s="9"/>
      <c r="C48" s="9"/>
      <c r="D48" s="9"/>
      <c r="E48" s="9"/>
      <c r="G48" s="8"/>
      <c r="I48" s="8"/>
      <c r="M48" s="2"/>
      <c r="N48" s="2"/>
    </row>
    <row r="49" spans="1:14">
      <c r="A49" s="8"/>
      <c r="B49" s="7"/>
      <c r="C49" s="7"/>
      <c r="D49" s="7"/>
      <c r="E49" s="7"/>
      <c r="M49" s="2"/>
      <c r="N49" s="2"/>
    </row>
    <row r="50" spans="1:14">
      <c r="A50" s="8"/>
      <c r="B50" s="7"/>
      <c r="C50" s="7"/>
      <c r="D50" s="7"/>
      <c r="E50" s="7"/>
      <c r="M50" s="2"/>
      <c r="N50" s="2"/>
    </row>
    <row r="51" spans="1:14">
      <c r="A51" s="8"/>
      <c r="B51" s="7"/>
      <c r="C51" s="7"/>
      <c r="D51" s="7"/>
      <c r="E51" s="7"/>
      <c r="M51" s="2"/>
      <c r="N51" s="2"/>
    </row>
    <row r="52" spans="1:14">
      <c r="B52" s="7"/>
      <c r="C52" s="7"/>
      <c r="D52" s="7"/>
      <c r="E52" s="7"/>
      <c r="M52" s="2"/>
      <c r="N52" s="2"/>
    </row>
    <row r="53" spans="1:14">
      <c r="B53" s="7"/>
      <c r="C53" s="7"/>
      <c r="D53" s="7"/>
      <c r="E53" s="7"/>
      <c r="M53" s="2"/>
      <c r="N53" s="2"/>
    </row>
    <row r="54" spans="1:14">
      <c r="B54" s="7"/>
      <c r="C54" s="7"/>
      <c r="D54" s="7"/>
      <c r="E54" s="7"/>
      <c r="M54" s="2"/>
      <c r="N54" s="2"/>
    </row>
    <row r="55" spans="1:14">
      <c r="B55" s="7"/>
      <c r="C55" s="7"/>
      <c r="D55" s="7"/>
      <c r="E55" s="7"/>
      <c r="M55" s="2"/>
      <c r="N55" s="2"/>
    </row>
    <row r="56" spans="1:14">
      <c r="B56" s="7"/>
      <c r="C56" s="7"/>
      <c r="D56" s="7"/>
      <c r="E56" s="7"/>
      <c r="M56" s="2"/>
      <c r="N56" s="2"/>
    </row>
    <row r="57" spans="1:14">
      <c r="B57" s="7"/>
      <c r="C57" s="7"/>
      <c r="D57" s="7"/>
      <c r="E57" s="7"/>
      <c r="M57" s="2"/>
      <c r="N57" s="2"/>
    </row>
    <row r="58" spans="1:14">
      <c r="B58" s="7"/>
      <c r="C58" s="7"/>
      <c r="D58" s="7"/>
      <c r="E58" s="7"/>
      <c r="M58" s="2"/>
      <c r="N58" s="2"/>
    </row>
    <row r="59" spans="1:14">
      <c r="B59" s="7"/>
      <c r="C59" s="7"/>
      <c r="D59" s="7"/>
      <c r="E59" s="7"/>
      <c r="F59" s="28"/>
      <c r="M59" s="2"/>
      <c r="N59" s="2"/>
    </row>
    <row r="60" spans="1:14">
      <c r="B60" s="7"/>
      <c r="C60" s="7"/>
      <c r="D60" s="7"/>
      <c r="E60" s="7"/>
      <c r="F60" s="28"/>
      <c r="M60" s="2"/>
      <c r="N60" s="2"/>
    </row>
    <row r="61" spans="1:14">
      <c r="B61" s="7"/>
      <c r="C61" s="7"/>
      <c r="D61" s="7"/>
      <c r="E61" s="7"/>
      <c r="F61" s="28"/>
      <c r="M61" s="2"/>
      <c r="N61" s="2"/>
    </row>
    <row r="62" spans="1:14">
      <c r="B62" s="7"/>
      <c r="C62" s="7"/>
      <c r="D62" s="7"/>
      <c r="E62" s="7"/>
      <c r="F62" s="28"/>
      <c r="M62" s="2"/>
      <c r="N62" s="2"/>
    </row>
    <row r="63" spans="1:14">
      <c r="B63" s="7"/>
      <c r="C63" s="7"/>
      <c r="D63" s="7"/>
      <c r="E63" s="7"/>
      <c r="F63" s="28"/>
      <c r="M63" s="2"/>
      <c r="N63" s="2"/>
    </row>
    <row r="64" spans="1:14">
      <c r="B64" s="7"/>
      <c r="C64" s="7"/>
      <c r="D64" s="7"/>
      <c r="E64" s="7"/>
      <c r="F64" s="28"/>
      <c r="M64" s="2"/>
      <c r="N64" s="2"/>
    </row>
    <row r="65" spans="2:14">
      <c r="B65" s="7"/>
      <c r="C65" s="7"/>
      <c r="D65" s="7"/>
      <c r="E65" s="7"/>
      <c r="F65" s="28"/>
      <c r="M65" s="2"/>
      <c r="N65" s="2"/>
    </row>
    <row r="66" spans="2:14">
      <c r="B66" s="7"/>
      <c r="C66" s="7"/>
      <c r="D66" s="7"/>
      <c r="E66" s="7"/>
      <c r="F66" s="28"/>
      <c r="M66" s="2"/>
      <c r="N66" s="2"/>
    </row>
    <row r="67" spans="2:14">
      <c r="B67" s="7"/>
      <c r="C67" s="7"/>
      <c r="D67" s="7"/>
      <c r="E67" s="7"/>
      <c r="F67" s="28"/>
      <c r="M67" s="2"/>
      <c r="N67" s="2"/>
    </row>
    <row r="68" spans="2:14">
      <c r="B68" s="7"/>
      <c r="C68" s="7"/>
      <c r="D68" s="7"/>
      <c r="E68" s="7"/>
      <c r="F68" s="28"/>
      <c r="M68" s="2"/>
      <c r="N68" s="2"/>
    </row>
    <row r="69" spans="2:14">
      <c r="B69" s="7"/>
      <c r="C69" s="7"/>
      <c r="D69" s="7"/>
      <c r="E69" s="7"/>
      <c r="F69" s="28"/>
      <c r="M69" s="2"/>
      <c r="N69" s="2"/>
    </row>
    <row r="70" spans="2:14">
      <c r="B70" s="7"/>
      <c r="C70" s="7"/>
      <c r="D70" s="7"/>
      <c r="E70" s="7"/>
      <c r="F70" s="28"/>
      <c r="M70" s="2"/>
      <c r="N70" s="2"/>
    </row>
    <row r="71" spans="2:14">
      <c r="E71" s="28"/>
      <c r="F71" s="28"/>
      <c r="M71" s="2"/>
      <c r="N71" s="2"/>
    </row>
    <row r="72" spans="2:14">
      <c r="E72" s="28"/>
      <c r="F72" s="28"/>
      <c r="M72" s="2"/>
      <c r="N72" s="2"/>
    </row>
    <row r="73" spans="2:14">
      <c r="E73" s="28"/>
      <c r="F73" s="28"/>
      <c r="M73" s="2"/>
      <c r="N73" s="2"/>
    </row>
    <row r="74" spans="2:14">
      <c r="E74" s="28"/>
      <c r="F74" s="28"/>
      <c r="M74" s="2"/>
      <c r="N74" s="2"/>
    </row>
    <row r="75" spans="2:14">
      <c r="E75" s="28"/>
      <c r="F75" s="28"/>
      <c r="M75" s="2"/>
      <c r="N75" s="2"/>
    </row>
    <row r="76" spans="2:14">
      <c r="E76" s="28"/>
      <c r="F76" s="28"/>
      <c r="M76" s="2"/>
      <c r="N76" s="2"/>
    </row>
    <row r="77" spans="2:14">
      <c r="E77" s="28"/>
      <c r="F77" s="28"/>
      <c r="M77" s="2"/>
      <c r="N77" s="2"/>
    </row>
    <row r="78" spans="2:14">
      <c r="E78" s="28"/>
      <c r="F78" s="28"/>
      <c r="M78" s="2"/>
      <c r="N78" s="2"/>
    </row>
    <row r="79" spans="2:14">
      <c r="E79" s="28"/>
      <c r="F79" s="28"/>
      <c r="M79" s="2"/>
      <c r="N79" s="2"/>
    </row>
    <row r="80" spans="2:14">
      <c r="E80" s="28"/>
      <c r="F80" s="28"/>
      <c r="M80" s="2"/>
      <c r="N80" s="2"/>
    </row>
    <row r="81" spans="5:14">
      <c r="E81" s="28"/>
      <c r="F81" s="28"/>
      <c r="M81" s="2"/>
      <c r="N81" s="2"/>
    </row>
    <row r="82" spans="5:14">
      <c r="E82" s="28"/>
      <c r="F82" s="28"/>
      <c r="M82" s="2"/>
      <c r="N82" s="2"/>
    </row>
    <row r="83" spans="5:14">
      <c r="E83" s="28"/>
      <c r="F83" s="28"/>
      <c r="M83" s="2"/>
      <c r="N83" s="2"/>
    </row>
    <row r="84" spans="5:14">
      <c r="E84" s="28"/>
      <c r="F84" s="28"/>
      <c r="M84" s="2"/>
      <c r="N84" s="2"/>
    </row>
    <row r="85" spans="5:14">
      <c r="E85" s="28"/>
      <c r="F85" s="28"/>
      <c r="M85" s="2"/>
      <c r="N85" s="2"/>
    </row>
    <row r="86" spans="5:14">
      <c r="E86" s="28"/>
      <c r="F86" s="28"/>
      <c r="M86" s="2"/>
      <c r="N86" s="2"/>
    </row>
    <row r="87" spans="5:14">
      <c r="E87" s="28"/>
      <c r="F87" s="28"/>
      <c r="M87" s="2"/>
      <c r="N87" s="2"/>
    </row>
    <row r="88" spans="5:14">
      <c r="E88" s="28"/>
      <c r="F88" s="28"/>
      <c r="M88" s="2"/>
      <c r="N88" s="2"/>
    </row>
  </sheetData>
  <dataValidations count="3">
    <dataValidation type="list" errorStyle="information" allowBlank="1" showInputMessage="1" showErrorMessage="1" promptTitle="Curve Choice" sqref="B3">
      <formula1>"Charging, Discharging"</formula1>
    </dataValidation>
    <dataValidation type="list" allowBlank="1" showInputMessage="1" showErrorMessage="1" sqref="B4">
      <formula1>"QuadraticLinear, CubicLinear"</formula1>
    </dataValidation>
    <dataValidation type="list" allowBlank="1" showInputMessage="1" showErrorMessage="1" sqref="B5">
      <formula1>"IP, SI"</formula1>
    </dataValidation>
  </dataValidation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068" r:id="rId3" name="Button 20">
              <controlPr defaultSize="0" print="0" autoFill="0" autoPict="0" macro="[0]!ManageCurveFit">
                <anchor moveWithCells="1" sizeWithCells="1">
                  <from>
                    <xdr:col>3</xdr:col>
                    <xdr:colOff>101600</xdr:colOff>
                    <xdr:row>3</xdr:row>
                    <xdr:rowOff>0</xdr:rowOff>
                  </from>
                  <to>
                    <xdr:col>4</xdr:col>
                    <xdr:colOff>1409700</xdr:colOff>
                    <xdr:row>4</xdr:row>
                    <xdr:rowOff>127000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B2:M49"/>
  <sheetViews>
    <sheetView zoomScale="85" zoomScaleNormal="85" zoomScalePageLayoutView="85" workbookViewId="0">
      <selection activeCell="B6" sqref="B6:C23"/>
    </sheetView>
  </sheetViews>
  <sheetFormatPr baseColWidth="10" defaultColWidth="8.83203125" defaultRowHeight="14" x14ac:dyDescent="0"/>
  <cols>
    <col min="1" max="1" width="3.1640625" customWidth="1"/>
    <col min="2" max="2" width="28.5" bestFit="1" customWidth="1"/>
    <col min="3" max="3" width="24.5" bestFit="1" customWidth="1"/>
    <col min="4" max="8" width="9.6640625" customWidth="1"/>
    <col min="9" max="9" width="13.5" customWidth="1"/>
    <col min="10" max="10" width="12.33203125" customWidth="1"/>
    <col min="13" max="13" width="47" customWidth="1"/>
  </cols>
  <sheetData>
    <row r="2" spans="2:13">
      <c r="B2" s="3" t="s">
        <v>14</v>
      </c>
      <c r="C2" t="s">
        <v>32</v>
      </c>
    </row>
    <row r="3" spans="2:13">
      <c r="B3" s="5" t="s">
        <v>19</v>
      </c>
      <c r="C3" t="s">
        <v>49</v>
      </c>
    </row>
    <row r="6" spans="2:13">
      <c r="B6" s="33" t="s">
        <v>60</v>
      </c>
      <c r="C6" t="s">
        <v>4</v>
      </c>
    </row>
    <row r="7" spans="2:13">
      <c r="B7" s="33" t="s">
        <v>54</v>
      </c>
      <c r="E7" s="33"/>
    </row>
    <row r="8" spans="2:13">
      <c r="B8" s="33" t="s">
        <v>34</v>
      </c>
      <c r="C8" t="s">
        <v>13</v>
      </c>
      <c r="E8" s="33"/>
    </row>
    <row r="9" spans="2:13">
      <c r="B9" s="33">
        <v>-2.2490303000000001E-3</v>
      </c>
      <c r="C9" t="s">
        <v>5</v>
      </c>
      <c r="E9" s="33"/>
      <c r="M9" s="41"/>
    </row>
    <row r="10" spans="2:13">
      <c r="B10" s="33">
        <v>-0.42333722140000002</v>
      </c>
      <c r="C10" t="s">
        <v>6</v>
      </c>
      <c r="E10" s="33"/>
      <c r="M10" s="41"/>
    </row>
    <row r="11" spans="2:13">
      <c r="B11" s="33">
        <v>-0.12369582060000001</v>
      </c>
      <c r="C11" t="s">
        <v>7</v>
      </c>
      <c r="E11" s="33"/>
      <c r="M11" s="41"/>
    </row>
    <row r="12" spans="2:13">
      <c r="B12" s="33">
        <v>-0.23454930099999999</v>
      </c>
      <c r="C12" t="s">
        <v>55</v>
      </c>
      <c r="E12" s="33"/>
      <c r="M12" s="41"/>
    </row>
    <row r="13" spans="2:13">
      <c r="B13" s="33">
        <v>2.4162940999999999E-3</v>
      </c>
      <c r="C13" t="s">
        <v>56</v>
      </c>
      <c r="E13" s="33"/>
      <c r="M13" s="41"/>
    </row>
    <row r="14" spans="2:13">
      <c r="B14" s="33">
        <v>8.4981379999999999E-4</v>
      </c>
      <c r="C14" t="s">
        <v>57</v>
      </c>
      <c r="E14" s="33"/>
      <c r="M14" s="41"/>
    </row>
    <row r="15" spans="2:13">
      <c r="B15" s="33">
        <v>-0.42</v>
      </c>
      <c r="C15" t="s">
        <v>8</v>
      </c>
      <c r="E15" s="33"/>
      <c r="M15" s="41"/>
    </row>
    <row r="16" spans="2:13">
      <c r="B16" s="33">
        <v>0</v>
      </c>
      <c r="C16" t="s">
        <v>9</v>
      </c>
      <c r="E16" s="33"/>
      <c r="M16" s="41"/>
    </row>
    <row r="17" spans="2:13">
      <c r="B17" s="33">
        <v>-0.08</v>
      </c>
      <c r="C17" t="s">
        <v>17</v>
      </c>
      <c r="E17" s="33"/>
      <c r="M17" s="41"/>
    </row>
    <row r="18" spans="2:13">
      <c r="B18" s="33">
        <v>0</v>
      </c>
      <c r="C18" t="s">
        <v>18</v>
      </c>
      <c r="E18" s="33"/>
      <c r="M18" s="41"/>
    </row>
    <row r="19" spans="2:13">
      <c r="B19" s="33">
        <v>3.0800000000000001E-2</v>
      </c>
      <c r="C19" t="s">
        <v>10</v>
      </c>
      <c r="E19" s="33"/>
      <c r="M19" s="41"/>
    </row>
    <row r="20" spans="2:13">
      <c r="B20" s="33">
        <v>0.17549999999999999</v>
      </c>
      <c r="C20" t="s">
        <v>11</v>
      </c>
      <c r="E20" s="33"/>
      <c r="M20" s="41"/>
    </row>
    <row r="21" spans="2:13">
      <c r="B21" s="33" t="s">
        <v>50</v>
      </c>
      <c r="C21" t="s">
        <v>51</v>
      </c>
      <c r="E21" s="33"/>
    </row>
    <row r="22" spans="2:13">
      <c r="B22" s="33" t="s">
        <v>50</v>
      </c>
      <c r="C22" t="s">
        <v>52</v>
      </c>
    </row>
    <row r="23" spans="2:13">
      <c r="B23" s="33" t="s">
        <v>50</v>
      </c>
      <c r="C23" t="s">
        <v>53</v>
      </c>
    </row>
    <row r="24" spans="2:13">
      <c r="B24" s="33"/>
      <c r="C24" s="34"/>
    </row>
    <row r="25" spans="2:13">
      <c r="B25" s="33"/>
      <c r="C25" s="34"/>
    </row>
    <row r="26" spans="2:13">
      <c r="B26" s="37"/>
      <c r="C26" s="34"/>
      <c r="E26" s="33"/>
      <c r="F26" s="34"/>
    </row>
    <row r="27" spans="2:13">
      <c r="B27" s="37"/>
      <c r="C27" s="34"/>
      <c r="E27" s="33"/>
      <c r="F27" s="34"/>
    </row>
    <row r="28" spans="2:13">
      <c r="B28" s="37"/>
      <c r="C28" s="34"/>
      <c r="E28" s="33"/>
      <c r="F28" s="34"/>
    </row>
    <row r="29" spans="2:13">
      <c r="B29" s="37"/>
      <c r="C29" s="34"/>
      <c r="E29" s="33"/>
      <c r="F29" s="34"/>
      <c r="M29" s="41"/>
    </row>
    <row r="30" spans="2:13">
      <c r="B30" s="37"/>
      <c r="C30" s="34"/>
      <c r="E30" s="33"/>
      <c r="F30" s="34"/>
      <c r="M30" s="41"/>
    </row>
    <row r="31" spans="2:13">
      <c r="B31" s="37"/>
      <c r="C31" s="34"/>
      <c r="E31" s="33"/>
      <c r="F31" s="34"/>
      <c r="M31" s="41"/>
    </row>
    <row r="32" spans="2:13">
      <c r="B32" s="37"/>
      <c r="C32" s="34"/>
      <c r="E32" s="33"/>
      <c r="F32" s="34"/>
      <c r="M32" s="41"/>
    </row>
    <row r="33" spans="2:13">
      <c r="B33" s="37"/>
      <c r="C33" s="34"/>
      <c r="E33" s="33"/>
      <c r="F33" s="34"/>
      <c r="M33" s="41"/>
    </row>
    <row r="34" spans="2:13">
      <c r="B34" s="37"/>
      <c r="C34" s="34"/>
      <c r="E34" s="33"/>
      <c r="F34" s="34"/>
      <c r="M34" s="41"/>
    </row>
    <row r="35" spans="2:13">
      <c r="B35" s="40"/>
      <c r="C35" s="34"/>
      <c r="E35" s="33"/>
      <c r="F35" s="34"/>
      <c r="M35" s="41"/>
    </row>
    <row r="36" spans="2:13">
      <c r="B36" s="33"/>
      <c r="C36" s="34"/>
      <c r="E36" s="33"/>
      <c r="F36" s="34"/>
      <c r="M36" s="41"/>
    </row>
    <row r="37" spans="2:13">
      <c r="B37" s="33"/>
      <c r="C37" s="34"/>
      <c r="E37" s="33"/>
      <c r="F37" s="34"/>
      <c r="M37" s="41"/>
    </row>
    <row r="38" spans="2:13">
      <c r="B38" s="33"/>
      <c r="C38" s="34"/>
      <c r="E38" s="33"/>
      <c r="F38" s="34"/>
      <c r="M38" s="41"/>
    </row>
    <row r="39" spans="2:13">
      <c r="B39" s="33"/>
      <c r="C39" s="34"/>
      <c r="E39" s="33"/>
      <c r="F39" s="34"/>
      <c r="M39" s="41"/>
    </row>
    <row r="40" spans="2:13">
      <c r="B40" s="33"/>
      <c r="C40" s="34"/>
      <c r="E40" s="33"/>
      <c r="F40" s="34"/>
      <c r="M40" s="41"/>
    </row>
    <row r="41" spans="2:13">
      <c r="B41" s="33"/>
      <c r="C41" s="34"/>
    </row>
    <row r="42" spans="2:13">
      <c r="B42" s="33"/>
      <c r="C42" s="34"/>
    </row>
    <row r="43" spans="2:13">
      <c r="B43" s="33"/>
      <c r="C43" s="34"/>
    </row>
    <row r="44" spans="2:13">
      <c r="B44" s="33"/>
      <c r="C44" s="34"/>
    </row>
    <row r="45" spans="2:13">
      <c r="B45" s="33"/>
    </row>
    <row r="46" spans="2:13">
      <c r="B46" s="33"/>
    </row>
    <row r="47" spans="2:13">
      <c r="B47" s="33"/>
    </row>
    <row r="48" spans="2:13">
      <c r="B48" s="33"/>
    </row>
    <row r="49" spans="2:2">
      <c r="B49" s="33"/>
    </row>
  </sheetData>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SaveCurveObjToTextFile">
                <anchor moveWithCells="1" sizeWithCells="1">
                  <from>
                    <xdr:col>3</xdr:col>
                    <xdr:colOff>12700</xdr:colOff>
                    <xdr:row>4</xdr:row>
                    <xdr:rowOff>0</xdr:rowOff>
                  </from>
                  <to>
                    <xdr:col>6</xdr:col>
                    <xdr:colOff>292100</xdr:colOff>
                    <xdr:row>6</xdr:row>
                    <xdr:rowOff>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INSTRUCTION</vt:lpstr>
      <vt:lpstr>INPUT</vt:lpstr>
      <vt:lpstr>OUTPUT</vt:lpstr>
    </vt:vector>
  </TitlesOfParts>
  <Manager/>
  <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Rick Strand</dc:creator>
  <cp:keywords/>
  <dc:description>Based on HVAC Curve Fit Tool by Bereket</dc:description>
  <cp:lastModifiedBy>Richard Strand</cp:lastModifiedBy>
  <dcterms:created xsi:type="dcterms:W3CDTF">2006-09-16T00:00:00Z</dcterms:created>
  <dcterms:modified xsi:type="dcterms:W3CDTF">2014-08-27T13:19:02Z</dcterms:modified>
  <cp:category/>
</cp:coreProperties>
</file>